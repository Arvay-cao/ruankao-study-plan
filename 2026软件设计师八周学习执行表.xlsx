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newworkspace\ruankao\"/>
    </mc:Choice>
  </mc:AlternateContent>
  <xr:revisionPtr revIDLastSave="0" documentId="13_ncr:1_{F66261ED-ACEE-4098-8638-89565401671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学习总览" sheetId="1" r:id="rId1"/>
    <sheet name="每日计划" sheetId="2" r:id="rId2"/>
    <sheet name="模考记录" sheetId="3" r:id="rId3"/>
    <sheet name="错题本" sheetId="4" r:id="rId4"/>
    <sheet name="考点地图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5" l="1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K204" i="4"/>
  <c r="J204" i="4"/>
  <c r="A204" i="4"/>
  <c r="K203" i="4"/>
  <c r="J203" i="4"/>
  <c r="A203" i="4"/>
  <c r="K202" i="4"/>
  <c r="J202" i="4"/>
  <c r="A202" i="4"/>
  <c r="K201" i="4"/>
  <c r="J201" i="4"/>
  <c r="A201" i="4"/>
  <c r="K200" i="4"/>
  <c r="J200" i="4"/>
  <c r="A200" i="4"/>
  <c r="K199" i="4"/>
  <c r="J199" i="4"/>
  <c r="A199" i="4"/>
  <c r="K198" i="4"/>
  <c r="J198" i="4"/>
  <c r="A198" i="4"/>
  <c r="K197" i="4"/>
  <c r="J197" i="4"/>
  <c r="A197" i="4"/>
  <c r="K196" i="4"/>
  <c r="J196" i="4"/>
  <c r="A196" i="4"/>
  <c r="K195" i="4"/>
  <c r="J195" i="4"/>
  <c r="A195" i="4"/>
  <c r="K194" i="4"/>
  <c r="J194" i="4"/>
  <c r="A194" i="4"/>
  <c r="K193" i="4"/>
  <c r="J193" i="4"/>
  <c r="A193" i="4"/>
  <c r="K192" i="4"/>
  <c r="J192" i="4"/>
  <c r="A192" i="4"/>
  <c r="K191" i="4"/>
  <c r="J191" i="4"/>
  <c r="A191" i="4"/>
  <c r="K190" i="4"/>
  <c r="J190" i="4"/>
  <c r="A190" i="4"/>
  <c r="K189" i="4"/>
  <c r="J189" i="4"/>
  <c r="A189" i="4"/>
  <c r="K188" i="4"/>
  <c r="J188" i="4"/>
  <c r="A188" i="4"/>
  <c r="K187" i="4"/>
  <c r="J187" i="4"/>
  <c r="A187" i="4"/>
  <c r="K186" i="4"/>
  <c r="J186" i="4"/>
  <c r="A186" i="4"/>
  <c r="K185" i="4"/>
  <c r="J185" i="4"/>
  <c r="A185" i="4"/>
  <c r="K184" i="4"/>
  <c r="J184" i="4"/>
  <c r="A184" i="4"/>
  <c r="K183" i="4"/>
  <c r="J183" i="4"/>
  <c r="A183" i="4"/>
  <c r="K182" i="4"/>
  <c r="J182" i="4"/>
  <c r="A182" i="4"/>
  <c r="K181" i="4"/>
  <c r="J181" i="4"/>
  <c r="A181" i="4"/>
  <c r="K180" i="4"/>
  <c r="J180" i="4"/>
  <c r="A180" i="4"/>
  <c r="K179" i="4"/>
  <c r="J179" i="4"/>
  <c r="A179" i="4"/>
  <c r="K178" i="4"/>
  <c r="J178" i="4"/>
  <c r="A178" i="4"/>
  <c r="K177" i="4"/>
  <c r="J177" i="4"/>
  <c r="A177" i="4"/>
  <c r="K176" i="4"/>
  <c r="J176" i="4"/>
  <c r="A176" i="4"/>
  <c r="K175" i="4"/>
  <c r="J175" i="4"/>
  <c r="A175" i="4"/>
  <c r="K174" i="4"/>
  <c r="J174" i="4"/>
  <c r="A174" i="4"/>
  <c r="K173" i="4"/>
  <c r="J173" i="4"/>
  <c r="A173" i="4"/>
  <c r="K172" i="4"/>
  <c r="J172" i="4"/>
  <c r="A172" i="4"/>
  <c r="K171" i="4"/>
  <c r="J171" i="4"/>
  <c r="A171" i="4"/>
  <c r="K170" i="4"/>
  <c r="J170" i="4"/>
  <c r="A170" i="4"/>
  <c r="K169" i="4"/>
  <c r="J169" i="4"/>
  <c r="A169" i="4"/>
  <c r="K168" i="4"/>
  <c r="J168" i="4"/>
  <c r="A168" i="4"/>
  <c r="K167" i="4"/>
  <c r="J167" i="4"/>
  <c r="A167" i="4"/>
  <c r="K166" i="4"/>
  <c r="J166" i="4"/>
  <c r="A166" i="4"/>
  <c r="K165" i="4"/>
  <c r="J165" i="4"/>
  <c r="A165" i="4"/>
  <c r="K164" i="4"/>
  <c r="J164" i="4"/>
  <c r="A164" i="4"/>
  <c r="K163" i="4"/>
  <c r="J163" i="4"/>
  <c r="A163" i="4"/>
  <c r="K162" i="4"/>
  <c r="J162" i="4"/>
  <c r="A162" i="4"/>
  <c r="K161" i="4"/>
  <c r="J161" i="4"/>
  <c r="A161" i="4"/>
  <c r="K160" i="4"/>
  <c r="J160" i="4"/>
  <c r="A160" i="4"/>
  <c r="K159" i="4"/>
  <c r="J159" i="4"/>
  <c r="A159" i="4"/>
  <c r="K158" i="4"/>
  <c r="J158" i="4"/>
  <c r="A158" i="4"/>
  <c r="K157" i="4"/>
  <c r="J157" i="4"/>
  <c r="A157" i="4"/>
  <c r="K156" i="4"/>
  <c r="J156" i="4"/>
  <c r="A156" i="4"/>
  <c r="K155" i="4"/>
  <c r="J155" i="4"/>
  <c r="A155" i="4"/>
  <c r="K154" i="4"/>
  <c r="J154" i="4"/>
  <c r="A154" i="4"/>
  <c r="K153" i="4"/>
  <c r="J153" i="4"/>
  <c r="A153" i="4"/>
  <c r="K152" i="4"/>
  <c r="J152" i="4"/>
  <c r="A152" i="4"/>
  <c r="K151" i="4"/>
  <c r="J151" i="4"/>
  <c r="A151" i="4"/>
  <c r="K150" i="4"/>
  <c r="J150" i="4"/>
  <c r="A150" i="4"/>
  <c r="K149" i="4"/>
  <c r="J149" i="4"/>
  <c r="A149" i="4"/>
  <c r="K148" i="4"/>
  <c r="J148" i="4"/>
  <c r="A148" i="4"/>
  <c r="K147" i="4"/>
  <c r="J147" i="4"/>
  <c r="A147" i="4"/>
  <c r="K146" i="4"/>
  <c r="J146" i="4"/>
  <c r="A146" i="4"/>
  <c r="K145" i="4"/>
  <c r="J145" i="4"/>
  <c r="A145" i="4"/>
  <c r="K144" i="4"/>
  <c r="J144" i="4"/>
  <c r="A144" i="4"/>
  <c r="K143" i="4"/>
  <c r="J143" i="4"/>
  <c r="A143" i="4"/>
  <c r="K142" i="4"/>
  <c r="J142" i="4"/>
  <c r="A142" i="4"/>
  <c r="K141" i="4"/>
  <c r="J141" i="4"/>
  <c r="A141" i="4"/>
  <c r="K140" i="4"/>
  <c r="J140" i="4"/>
  <c r="A140" i="4"/>
  <c r="K139" i="4"/>
  <c r="J139" i="4"/>
  <c r="A139" i="4"/>
  <c r="K138" i="4"/>
  <c r="J138" i="4"/>
  <c r="A138" i="4"/>
  <c r="K137" i="4"/>
  <c r="J137" i="4"/>
  <c r="A137" i="4"/>
  <c r="K136" i="4"/>
  <c r="J136" i="4"/>
  <c r="A136" i="4"/>
  <c r="K135" i="4"/>
  <c r="J135" i="4"/>
  <c r="A135" i="4"/>
  <c r="K134" i="4"/>
  <c r="J134" i="4"/>
  <c r="A134" i="4"/>
  <c r="K133" i="4"/>
  <c r="J133" i="4"/>
  <c r="A133" i="4"/>
  <c r="K132" i="4"/>
  <c r="J132" i="4"/>
  <c r="A132" i="4"/>
  <c r="K131" i="4"/>
  <c r="J131" i="4"/>
  <c r="A131" i="4"/>
  <c r="K130" i="4"/>
  <c r="J130" i="4"/>
  <c r="A130" i="4"/>
  <c r="K129" i="4"/>
  <c r="J129" i="4"/>
  <c r="A129" i="4"/>
  <c r="K128" i="4"/>
  <c r="J128" i="4"/>
  <c r="A128" i="4"/>
  <c r="K127" i="4"/>
  <c r="J127" i="4"/>
  <c r="A127" i="4"/>
  <c r="K126" i="4"/>
  <c r="J126" i="4"/>
  <c r="A126" i="4"/>
  <c r="K125" i="4"/>
  <c r="J125" i="4"/>
  <c r="A125" i="4"/>
  <c r="K124" i="4"/>
  <c r="J124" i="4"/>
  <c r="A124" i="4"/>
  <c r="K123" i="4"/>
  <c r="J123" i="4"/>
  <c r="A123" i="4"/>
  <c r="K122" i="4"/>
  <c r="J122" i="4"/>
  <c r="A122" i="4"/>
  <c r="K121" i="4"/>
  <c r="J121" i="4"/>
  <c r="A121" i="4"/>
  <c r="K120" i="4"/>
  <c r="J120" i="4"/>
  <c r="A120" i="4"/>
  <c r="K119" i="4"/>
  <c r="J119" i="4"/>
  <c r="A119" i="4"/>
  <c r="K118" i="4"/>
  <c r="J118" i="4"/>
  <c r="A118" i="4"/>
  <c r="K117" i="4"/>
  <c r="J117" i="4"/>
  <c r="A117" i="4"/>
  <c r="K116" i="4"/>
  <c r="J116" i="4"/>
  <c r="A116" i="4"/>
  <c r="K115" i="4"/>
  <c r="J115" i="4"/>
  <c r="A115" i="4"/>
  <c r="K114" i="4"/>
  <c r="J114" i="4"/>
  <c r="A114" i="4"/>
  <c r="K113" i="4"/>
  <c r="J113" i="4"/>
  <c r="A113" i="4"/>
  <c r="K112" i="4"/>
  <c r="J112" i="4"/>
  <c r="A112" i="4"/>
  <c r="K111" i="4"/>
  <c r="J111" i="4"/>
  <c r="A111" i="4"/>
  <c r="K110" i="4"/>
  <c r="J110" i="4"/>
  <c r="A110" i="4"/>
  <c r="K109" i="4"/>
  <c r="J109" i="4"/>
  <c r="A109" i="4"/>
  <c r="K108" i="4"/>
  <c r="J108" i="4"/>
  <c r="A108" i="4"/>
  <c r="K107" i="4"/>
  <c r="J107" i="4"/>
  <c r="A107" i="4"/>
  <c r="K106" i="4"/>
  <c r="J106" i="4"/>
  <c r="A106" i="4"/>
  <c r="K105" i="4"/>
  <c r="J105" i="4"/>
  <c r="A105" i="4"/>
  <c r="K104" i="4"/>
  <c r="J104" i="4"/>
  <c r="A104" i="4"/>
  <c r="K103" i="4"/>
  <c r="J103" i="4"/>
  <c r="A103" i="4"/>
  <c r="K102" i="4"/>
  <c r="J102" i="4"/>
  <c r="A102" i="4"/>
  <c r="K101" i="4"/>
  <c r="J101" i="4"/>
  <c r="A101" i="4"/>
  <c r="K100" i="4"/>
  <c r="J100" i="4"/>
  <c r="A100" i="4"/>
  <c r="K99" i="4"/>
  <c r="J99" i="4"/>
  <c r="A99" i="4"/>
  <c r="K98" i="4"/>
  <c r="J98" i="4"/>
  <c r="A98" i="4"/>
  <c r="K97" i="4"/>
  <c r="J97" i="4"/>
  <c r="A97" i="4"/>
  <c r="K96" i="4"/>
  <c r="J96" i="4"/>
  <c r="A96" i="4"/>
  <c r="K95" i="4"/>
  <c r="J95" i="4"/>
  <c r="A95" i="4"/>
  <c r="K94" i="4"/>
  <c r="J94" i="4"/>
  <c r="A94" i="4"/>
  <c r="K93" i="4"/>
  <c r="J93" i="4"/>
  <c r="A93" i="4"/>
  <c r="K92" i="4"/>
  <c r="J92" i="4"/>
  <c r="A92" i="4"/>
  <c r="K91" i="4"/>
  <c r="J91" i="4"/>
  <c r="A91" i="4"/>
  <c r="K90" i="4"/>
  <c r="J90" i="4"/>
  <c r="A90" i="4"/>
  <c r="K89" i="4"/>
  <c r="J89" i="4"/>
  <c r="A89" i="4"/>
  <c r="K88" i="4"/>
  <c r="J88" i="4"/>
  <c r="A88" i="4"/>
  <c r="K87" i="4"/>
  <c r="J87" i="4"/>
  <c r="A87" i="4"/>
  <c r="K86" i="4"/>
  <c r="J86" i="4"/>
  <c r="A86" i="4"/>
  <c r="K85" i="4"/>
  <c r="J85" i="4"/>
  <c r="A85" i="4"/>
  <c r="K84" i="4"/>
  <c r="J84" i="4"/>
  <c r="A84" i="4"/>
  <c r="K83" i="4"/>
  <c r="J83" i="4"/>
  <c r="A83" i="4"/>
  <c r="K82" i="4"/>
  <c r="J82" i="4"/>
  <c r="A82" i="4"/>
  <c r="K81" i="4"/>
  <c r="J81" i="4"/>
  <c r="A81" i="4"/>
  <c r="K80" i="4"/>
  <c r="J80" i="4"/>
  <c r="A80" i="4"/>
  <c r="K79" i="4"/>
  <c r="J79" i="4"/>
  <c r="A79" i="4"/>
  <c r="K78" i="4"/>
  <c r="J78" i="4"/>
  <c r="A78" i="4"/>
  <c r="K77" i="4"/>
  <c r="J77" i="4"/>
  <c r="A77" i="4"/>
  <c r="K76" i="4"/>
  <c r="J76" i="4"/>
  <c r="A76" i="4"/>
  <c r="K75" i="4"/>
  <c r="J75" i="4"/>
  <c r="A75" i="4"/>
  <c r="K74" i="4"/>
  <c r="J74" i="4"/>
  <c r="A74" i="4"/>
  <c r="K73" i="4"/>
  <c r="J73" i="4"/>
  <c r="A73" i="4"/>
  <c r="K72" i="4"/>
  <c r="J72" i="4"/>
  <c r="A72" i="4"/>
  <c r="K71" i="4"/>
  <c r="J71" i="4"/>
  <c r="A71" i="4"/>
  <c r="K70" i="4"/>
  <c r="J70" i="4"/>
  <c r="A70" i="4"/>
  <c r="K69" i="4"/>
  <c r="J69" i="4"/>
  <c r="A69" i="4"/>
  <c r="K68" i="4"/>
  <c r="J68" i="4"/>
  <c r="A68" i="4"/>
  <c r="K67" i="4"/>
  <c r="J67" i="4"/>
  <c r="A67" i="4"/>
  <c r="K66" i="4"/>
  <c r="J66" i="4"/>
  <c r="A66" i="4"/>
  <c r="K65" i="4"/>
  <c r="J65" i="4"/>
  <c r="A65" i="4"/>
  <c r="K64" i="4"/>
  <c r="J64" i="4"/>
  <c r="A64" i="4"/>
  <c r="K63" i="4"/>
  <c r="J63" i="4"/>
  <c r="A63" i="4"/>
  <c r="K62" i="4"/>
  <c r="J62" i="4"/>
  <c r="A62" i="4"/>
  <c r="K61" i="4"/>
  <c r="J61" i="4"/>
  <c r="A61" i="4"/>
  <c r="K60" i="4"/>
  <c r="J60" i="4"/>
  <c r="A60" i="4"/>
  <c r="K59" i="4"/>
  <c r="J59" i="4"/>
  <c r="A59" i="4"/>
  <c r="K58" i="4"/>
  <c r="J58" i="4"/>
  <c r="A58" i="4"/>
  <c r="K57" i="4"/>
  <c r="J57" i="4"/>
  <c r="A57" i="4"/>
  <c r="K56" i="4"/>
  <c r="J56" i="4"/>
  <c r="A56" i="4"/>
  <c r="K55" i="4"/>
  <c r="J55" i="4"/>
  <c r="A55" i="4"/>
  <c r="K54" i="4"/>
  <c r="J54" i="4"/>
  <c r="A54" i="4"/>
  <c r="K53" i="4"/>
  <c r="J53" i="4"/>
  <c r="A53" i="4"/>
  <c r="K52" i="4"/>
  <c r="J52" i="4"/>
  <c r="A52" i="4"/>
  <c r="K51" i="4"/>
  <c r="J51" i="4"/>
  <c r="A51" i="4"/>
  <c r="K50" i="4"/>
  <c r="J50" i="4"/>
  <c r="A50" i="4"/>
  <c r="K49" i="4"/>
  <c r="J49" i="4"/>
  <c r="A49" i="4"/>
  <c r="K48" i="4"/>
  <c r="J48" i="4"/>
  <c r="A48" i="4"/>
  <c r="K47" i="4"/>
  <c r="J47" i="4"/>
  <c r="A47" i="4"/>
  <c r="K46" i="4"/>
  <c r="J46" i="4"/>
  <c r="A46" i="4"/>
  <c r="K45" i="4"/>
  <c r="J45" i="4"/>
  <c r="A45" i="4"/>
  <c r="K44" i="4"/>
  <c r="J44" i="4"/>
  <c r="A44" i="4"/>
  <c r="K43" i="4"/>
  <c r="J43" i="4"/>
  <c r="A43" i="4"/>
  <c r="K42" i="4"/>
  <c r="J42" i="4"/>
  <c r="A42" i="4"/>
  <c r="K41" i="4"/>
  <c r="J41" i="4"/>
  <c r="A41" i="4"/>
  <c r="K40" i="4"/>
  <c r="J40" i="4"/>
  <c r="A40" i="4"/>
  <c r="K39" i="4"/>
  <c r="J39" i="4"/>
  <c r="A39" i="4"/>
  <c r="K38" i="4"/>
  <c r="J38" i="4"/>
  <c r="A38" i="4"/>
  <c r="K37" i="4"/>
  <c r="J37" i="4"/>
  <c r="A37" i="4"/>
  <c r="K36" i="4"/>
  <c r="J36" i="4"/>
  <c r="A36" i="4"/>
  <c r="K35" i="4"/>
  <c r="J35" i="4"/>
  <c r="A35" i="4"/>
  <c r="K34" i="4"/>
  <c r="J34" i="4"/>
  <c r="A34" i="4"/>
  <c r="K33" i="4"/>
  <c r="J33" i="4"/>
  <c r="A33" i="4"/>
  <c r="K32" i="4"/>
  <c r="J32" i="4"/>
  <c r="A32" i="4"/>
  <c r="K31" i="4"/>
  <c r="J31" i="4"/>
  <c r="A31" i="4"/>
  <c r="K30" i="4"/>
  <c r="J30" i="4"/>
  <c r="A30" i="4"/>
  <c r="K29" i="4"/>
  <c r="J29" i="4"/>
  <c r="A29" i="4"/>
  <c r="K28" i="4"/>
  <c r="J28" i="4"/>
  <c r="A28" i="4"/>
  <c r="K27" i="4"/>
  <c r="J27" i="4"/>
  <c r="A27" i="4"/>
  <c r="K26" i="4"/>
  <c r="J26" i="4"/>
  <c r="A26" i="4"/>
  <c r="K25" i="4"/>
  <c r="J25" i="4"/>
  <c r="A25" i="4"/>
  <c r="K24" i="4"/>
  <c r="J24" i="4"/>
  <c r="A24" i="4"/>
  <c r="K23" i="4"/>
  <c r="J23" i="4"/>
  <c r="A23" i="4"/>
  <c r="K22" i="4"/>
  <c r="J22" i="4"/>
  <c r="A22" i="4"/>
  <c r="K21" i="4"/>
  <c r="J21" i="4"/>
  <c r="A21" i="4"/>
  <c r="K20" i="4"/>
  <c r="J20" i="4"/>
  <c r="A20" i="4"/>
  <c r="K19" i="4"/>
  <c r="J19" i="4"/>
  <c r="A19" i="4"/>
  <c r="K18" i="4"/>
  <c r="J18" i="4"/>
  <c r="A18" i="4"/>
  <c r="K17" i="4"/>
  <c r="J17" i="4"/>
  <c r="A17" i="4"/>
  <c r="K16" i="4"/>
  <c r="J16" i="4"/>
  <c r="A16" i="4"/>
  <c r="K15" i="4"/>
  <c r="J15" i="4"/>
  <c r="A15" i="4"/>
  <c r="K14" i="4"/>
  <c r="J14" i="4"/>
  <c r="A14" i="4"/>
  <c r="K13" i="4"/>
  <c r="J13" i="4"/>
  <c r="A13" i="4"/>
  <c r="K12" i="4"/>
  <c r="J12" i="4"/>
  <c r="A12" i="4"/>
  <c r="K11" i="4"/>
  <c r="J11" i="4"/>
  <c r="A11" i="4"/>
  <c r="K10" i="4"/>
  <c r="J10" i="4"/>
  <c r="A10" i="4"/>
  <c r="K9" i="4"/>
  <c r="J9" i="4"/>
  <c r="A9" i="4"/>
  <c r="K8" i="4"/>
  <c r="J8" i="4"/>
  <c r="A8" i="4"/>
  <c r="K7" i="4"/>
  <c r="J7" i="4"/>
  <c r="A7" i="4"/>
  <c r="K6" i="4"/>
  <c r="J6" i="4"/>
  <c r="A6" i="4"/>
  <c r="K5" i="4"/>
  <c r="J5" i="4"/>
  <c r="A5" i="4"/>
  <c r="K12" i="3"/>
  <c r="J12" i="3"/>
  <c r="G12" i="3"/>
  <c r="F12" i="3"/>
  <c r="K11" i="3"/>
  <c r="J11" i="3"/>
  <c r="G11" i="3"/>
  <c r="F11" i="3"/>
  <c r="K10" i="3"/>
  <c r="J10" i="3"/>
  <c r="G10" i="3"/>
  <c r="F10" i="3"/>
  <c r="K9" i="3"/>
  <c r="J9" i="3"/>
  <c r="G9" i="3"/>
  <c r="F9" i="3"/>
  <c r="K8" i="3"/>
  <c r="J8" i="3"/>
  <c r="G8" i="3"/>
  <c r="F8" i="3"/>
  <c r="K7" i="3"/>
  <c r="J7" i="3"/>
  <c r="G7" i="3"/>
  <c r="F7" i="3"/>
  <c r="K6" i="3"/>
  <c r="J6" i="3"/>
  <c r="G6" i="3"/>
  <c r="F6" i="3"/>
  <c r="K5" i="3"/>
  <c r="J5" i="3"/>
  <c r="G5" i="3"/>
  <c r="F5" i="3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E21" i="1"/>
  <c r="F21" i="1" s="1"/>
  <c r="C21" i="1"/>
  <c r="B21" i="1"/>
  <c r="E20" i="1"/>
  <c r="F20" i="1" s="1"/>
  <c r="C20" i="1"/>
  <c r="B20" i="1"/>
  <c r="E19" i="1"/>
  <c r="F19" i="1" s="1"/>
  <c r="C19" i="1"/>
  <c r="D19" i="1" s="1"/>
  <c r="B19" i="1"/>
  <c r="E18" i="1"/>
  <c r="F18" i="1" s="1"/>
  <c r="C18" i="1"/>
  <c r="B18" i="1"/>
  <c r="E17" i="1"/>
  <c r="F17" i="1" s="1"/>
  <c r="C17" i="1"/>
  <c r="B17" i="1"/>
  <c r="E16" i="1"/>
  <c r="F16" i="1" s="1"/>
  <c r="C16" i="1"/>
  <c r="B16" i="1"/>
  <c r="E15" i="1"/>
  <c r="F15" i="1" s="1"/>
  <c r="C15" i="1"/>
  <c r="D15" i="1" s="1"/>
  <c r="B15" i="1"/>
  <c r="E14" i="1"/>
  <c r="C14" i="1"/>
  <c r="B14" i="1"/>
  <c r="J9" i="1"/>
  <c r="G9" i="1"/>
  <c r="D9" i="1"/>
  <c r="A9" i="1"/>
  <c r="J5" i="1"/>
  <c r="G5" i="1"/>
  <c r="D5" i="1"/>
  <c r="A5" i="1"/>
  <c r="D17" i="1" l="1"/>
  <c r="D16" i="1"/>
  <c r="D14" i="1"/>
  <c r="D18" i="1"/>
  <c r="D20" i="1"/>
  <c r="D21" i="1"/>
  <c r="F14" i="1"/>
</calcChain>
</file>

<file path=xl/sharedStrings.xml><?xml version="1.0" encoding="utf-8"?>
<sst xmlns="http://schemas.openxmlformats.org/spreadsheetml/2006/main" count="931" uniqueCount="335">
  <si>
    <t>2026 软件设计师 · 八周通关总览</t>
  </si>
  <si>
    <t>备考截止 2026-10-20｜目标：上午、下午稳定达到55分｜蓝色单元格代表需要你填写的数据</t>
  </si>
  <si>
    <t>计划总时长(h)</t>
  </si>
  <si>
    <t>已完成时长(h)</t>
  </si>
  <si>
    <t>时长完成率</t>
  </si>
  <si>
    <t>已完成天数</t>
  </si>
  <si>
    <t>上午最佳</t>
  </si>
  <si>
    <t>下午最佳</t>
  </si>
  <si>
    <t>双科通过次数</t>
  </si>
  <si>
    <t>待专项考点</t>
  </si>
  <si>
    <t>每周进度</t>
  </si>
  <si>
    <t>周次</t>
  </si>
  <si>
    <t>计划时长</t>
  </si>
  <si>
    <t>实际时长</t>
  </si>
  <si>
    <t>完成天数</t>
  </si>
  <si>
    <t>状态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</si>
  <si>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</si>
  <si>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</si>
  <si>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</si>
  <si>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</si>
  <si>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</si>
  <si>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</si>
  <si>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</si>
  <si>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</si>
  <si>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使用规则</t>
  </si>
  <si>
    <t>1. 每天在“每日计划”填写实际时长、状态与备注；当天完成率自动更新。
2. 每次模考后立即填写双科成绩、用时和失分原因；目标不是45分压线，而是稳定55分。
3. 每道典型错题写入“错题本”；同一考点与错因出现3次会标红并要求专项训练。
4. 每周更新“考点地图”的练习题数、正确率和自评分；低于65%的专题优先补强。
5. 若某周只能投入14小时，先压缩教材阅读；保留下午题、真题模考和复盘。</t>
  </si>
  <si>
    <t>考试与资料来源</t>
  </si>
  <si>
    <t>2026年下半年考试窗口（10月24—27日）：https://www.miiteec.org.cn/news_details?code=17726402B5ZXG7PC
合格标准说明（各科75分、通常45分合格）：https://gxt.hunan.gov.cn/gxt/rkb/jsjtzgg/202212/t20221216_29163013.html
官方教程信息《软件设计师教程（第5版）》：https://www.tup.tsinghua.edu.cn/bookscenter/book_07552001.html
具体考试场次、地点与批次以本人准考证为准。</t>
  </si>
  <si>
    <t>软件设计师 · 每日执行表</t>
  </si>
  <si>
    <t>蓝色单元格为每日需要填写的内容；状态与实际时长会自动汇总到“学习总览”。</t>
  </si>
  <si>
    <t>日期</t>
  </si>
  <si>
    <t>星期</t>
  </si>
  <si>
    <t>阶段</t>
  </si>
  <si>
    <t>今日主题</t>
  </si>
  <si>
    <t>具体任务</t>
  </si>
  <si>
    <t>计划时长(h)</t>
  </si>
  <si>
    <t>实际时长(h)</t>
  </si>
  <si>
    <t>完成率</t>
  </si>
  <si>
    <t>当天产出</t>
  </si>
  <si>
    <t>备注</t>
  </si>
  <si>
    <t>周三</t>
  </si>
  <si>
    <t>诊断与基础重建</t>
  </si>
  <si>
    <t>摸底·上午卷</t>
  </si>
  <si>
    <t>完成一套近年真题的上午卷；严格记录每道错题所属考点，不查资料。</t>
  </si>
  <si>
    <t>未开始</t>
  </si>
  <si>
    <t>上午摸底分数＋首批错题</t>
  </si>
  <si>
    <t>周四</t>
  </si>
  <si>
    <t>摸底·下午卷</t>
  </si>
  <si>
    <t>完成同套真题下午卷；Java选做题固定选择Java；按规范术语作答。</t>
  </si>
  <si>
    <t>下午摸底分数＋弱项排序</t>
  </si>
  <si>
    <t>周五</t>
  </si>
  <si>
    <t>数据表示与校验</t>
  </si>
  <si>
    <t>复习进制、补码、浮点数、奇偶校验与海明码；完成25道选择题。</t>
  </si>
  <si>
    <t>公式卡片＋25题订正</t>
  </si>
  <si>
    <t>周六</t>
  </si>
  <si>
    <t>计算机组成</t>
  </si>
  <si>
    <t>复习CPU、指令流水线、存储层次、Cache、I/O；完成40道专题题。</t>
  </si>
  <si>
    <t>组成原理错题清单</t>
  </si>
  <si>
    <t>周日</t>
  </si>
  <si>
    <t>操作系统</t>
  </si>
  <si>
    <t>复习进程线程、同步互斥、死锁、页式存储、文件系统；完成40题。</t>
  </si>
  <si>
    <t>操作系统知识框架</t>
  </si>
  <si>
    <t>周一</t>
  </si>
  <si>
    <t>编译与程序语言</t>
  </si>
  <si>
    <t>复习词法/语法分析、正规式、有限自动机、传值与传址；完成25题。</t>
  </si>
  <si>
    <t>编译专题错题</t>
  </si>
  <si>
    <t>周二</t>
  </si>
  <si>
    <t>周复盘</t>
  </si>
  <si>
    <t>重做本周全部错题；统计上午正确率；列出最弱的3个考点。</t>
  </si>
  <si>
    <t>第1周复盘＋弱项Top3</t>
  </si>
  <si>
    <t>数据结构与算法</t>
  </si>
  <si>
    <t>线性结构</t>
  </si>
  <si>
    <t>复习线性表、栈、队列、串；完成30道选择题并写出核心操作复杂度。</t>
  </si>
  <si>
    <t>复杂度速查表</t>
  </si>
  <si>
    <t>树与二叉树</t>
  </si>
  <si>
    <t>复习性质、遍历、哈夫曼树、二叉排序树；完成30道选择题。</t>
  </si>
  <si>
    <t>树专题错题</t>
  </si>
  <si>
    <t>图</t>
  </si>
  <si>
    <t>复习存储、遍历、最小生成树、最短路径、拓扑排序；完成25题。</t>
  </si>
  <si>
    <t>图算法对照表</t>
  </si>
  <si>
    <t>查找与排序</t>
  </si>
  <si>
    <t>复习常见查找/排序算法、稳定性和复杂度；完成45题。</t>
  </si>
  <si>
    <t>排序算法对照表</t>
  </si>
  <si>
    <t>算法下午题①</t>
  </si>
  <si>
    <t>完成2道算法填空题；先手工跟踪变量，再核对答案并重写。</t>
  </si>
  <si>
    <t>2道完整算法题</t>
  </si>
  <si>
    <t>算法下午题②</t>
  </si>
  <si>
    <t>完成2道不同类型算法题，重点训练循环边界、递归与复杂度分析。</t>
  </si>
  <si>
    <t>算法错因归类</t>
  </si>
  <si>
    <t>周测与复盘</t>
  </si>
  <si>
    <t>完成数据结构专题计时测试；正确率目标65%；重做全部错题。</t>
  </si>
  <si>
    <t>专题成绩＋复盘</t>
  </si>
  <si>
    <t>数据库、网络与安全</t>
  </si>
  <si>
    <t>关系模型</t>
  </si>
  <si>
    <t>复习关系代数、候选键、函数依赖；完成30道选择题。</t>
  </si>
  <si>
    <t>关系代数规则卡</t>
  </si>
  <si>
    <t>规范化</t>
  </si>
  <si>
    <t>复习1NF至BCNF、无损连接与依赖保持；完成25道规范化题。</t>
  </si>
  <si>
    <t>范式判断流程</t>
  </si>
  <si>
    <t>SQL与事务</t>
  </si>
  <si>
    <t>复习连接、子查询、聚合、视图、事务与并发控制；完成30题。</t>
  </si>
  <si>
    <t>SQL易错点清单</t>
  </si>
  <si>
    <t>数据库设计题</t>
  </si>
  <si>
    <t>完整完成2道数据库下午题：ER图、关系模式、主外键和SQL。</t>
  </si>
  <si>
    <t>2道数据库设计题</t>
  </si>
  <si>
    <t>网络基础</t>
  </si>
  <si>
    <t>复习OSI/TCP-IP、地址与子网、常用协议、网络设备；完成40题。</t>
  </si>
  <si>
    <t>协议与端口卡片</t>
  </si>
  <si>
    <t>信息安全</t>
  </si>
  <si>
    <t>复习加密、摘要、数字签名、认证、网络攻击与防护；完成30题。</t>
  </si>
  <si>
    <t>安全机制对照表</t>
  </si>
  <si>
    <t>数据库专题测试，正确率目标70%；独立重做1套数据库设计题。</t>
  </si>
  <si>
    <t>软件工程与首次计时</t>
  </si>
  <si>
    <t>开发模型与需求</t>
  </si>
  <si>
    <t>复习瀑布、增量、螺旋、敏捷、需求分类与可行性；完成30题。</t>
  </si>
  <si>
    <t>模型适用场景表</t>
  </si>
  <si>
    <t>设计与测试</t>
  </si>
  <si>
    <t>复习内聚耦合、白盒/黑盒测试、McCabe复杂度、维护；完成35题。</t>
  </si>
  <si>
    <t>测试方法对照表</t>
  </si>
  <si>
    <t>质量与项目管理</t>
  </si>
  <si>
    <t>复习质量特性、估算、进度、风险；完成25题并整理公式。</t>
  </si>
  <si>
    <t>项目管理公式卡</t>
  </si>
  <si>
    <t>计时上午卷</t>
  </si>
  <si>
    <t>120分钟完成一套上午卷；剩余时间逐题标注把握度；目标48分。</t>
  </si>
  <si>
    <t>上午计时成绩</t>
  </si>
  <si>
    <t>计时下午卷</t>
  </si>
  <si>
    <t>120分钟完成一套下午卷；按题型分配时间；目标42分。</t>
  </si>
  <si>
    <t>下午计时成绩</t>
  </si>
  <si>
    <t>知识产权与标准化</t>
  </si>
  <si>
    <t>复习著作权、专利、商业秘密、标准分类；完成25题。</t>
  </si>
  <si>
    <t>法规记忆卡</t>
  </si>
  <si>
    <t>计时卷复盘</t>
  </si>
  <si>
    <t>重做计时卷全部错题；记录知识、混淆、计算、时间四类原因。</t>
  </si>
  <si>
    <t>第4周复盘</t>
  </si>
  <si>
    <t>下午题专项</t>
  </si>
  <si>
    <t>数据流图</t>
  </si>
  <si>
    <t>完成2道DFD题；训练外部实体、加工、数据存储和数据流判断。</t>
  </si>
  <si>
    <t>DFD答题模板</t>
  </si>
  <si>
    <t>数据库设计</t>
  </si>
  <si>
    <t>完成2道数据库设计题；规范写出实体、联系、键及关系模式。</t>
  </si>
  <si>
    <t>数据库答题模板</t>
  </si>
  <si>
    <t>UML基础</t>
  </si>
  <si>
    <t>复习用例图、类图、顺序图、状态图；完成2道UML题。</t>
  </si>
  <si>
    <t>UML关系速查表</t>
  </si>
  <si>
    <t>结构化分析强化</t>
  </si>
  <si>
    <t>再完成DFD与数据库题各2道；只看题干独立作答后再订正。</t>
  </si>
  <si>
    <t>4道专项题</t>
  </si>
  <si>
    <t>面向对象分析</t>
  </si>
  <si>
    <t>完成3道UML/面向对象题；训练多重度、关系和职责判断。</t>
  </si>
  <si>
    <t>3道专项题</t>
  </si>
  <si>
    <t>术语与步骤整理</t>
  </si>
  <si>
    <t>把DFD、数据库、UML三类题压缩为一页答题步骤和规范术语。</t>
  </si>
  <si>
    <t>下午题模板一页纸</t>
  </si>
  <si>
    <t>混合完成三类下午题各1道，单题控制在30分钟内。</t>
  </si>
  <si>
    <t>3道限时题＋复盘</t>
  </si>
  <si>
    <t>算法、模式与首次连考</t>
  </si>
  <si>
    <t>算法强化</t>
  </si>
  <si>
    <t>完成2道算法题，标注关键循环、递归出口和复杂度。</t>
  </si>
  <si>
    <t>算法解题检查表</t>
  </si>
  <si>
    <t>设计模式①</t>
  </si>
  <si>
    <t>复习创建型与结构型模式：意图、角色、适用场景；完成25题。</t>
  </si>
  <si>
    <t>模式对照卡①</t>
  </si>
  <si>
    <t>设计模式②</t>
  </si>
  <si>
    <t>复习行为型模式；完成25题并识别题干关键词。</t>
  </si>
  <si>
    <t>模式对照卡②</t>
  </si>
  <si>
    <t>首次240分钟连考</t>
  </si>
  <si>
    <t>连续完成上午与下午两科，模拟机考节奏；两科目标均50分。</t>
  </si>
  <si>
    <t>完整模考成绩</t>
  </si>
  <si>
    <t>完整复盘</t>
  </si>
  <si>
    <t>按四类错因复盘整卷；重做所有错题；列出失分最高3专题。</t>
  </si>
  <si>
    <t>模考复盘＋弱项Top3</t>
  </si>
  <si>
    <t>Java选做题</t>
  </si>
  <si>
    <t>完成3道Java代码/设计模式题；复习继承、多态、接口和集合。</t>
  </si>
  <si>
    <t>3道Java选做题</t>
  </si>
  <si>
    <t>上午查漏</t>
  </si>
  <si>
    <t>针对弱项Top3各完成15道题；更新考点地图熟练度。</t>
  </si>
  <si>
    <t>45道弱项题</t>
  </si>
  <si>
    <t>真题整卷冲刺</t>
  </si>
  <si>
    <t>高频错题回炉</t>
  </si>
  <si>
    <t>重做累计错题中出现两次以上的题；完善一页公式表。</t>
  </si>
  <si>
    <t>高频错题清零表</t>
  </si>
  <si>
    <t>下午题速度训练</t>
  </si>
  <si>
    <t>DFD、数据库、UML各做1题，每题限时25—30分钟。</t>
  </si>
  <si>
    <t>3道限时下午题</t>
  </si>
  <si>
    <t>模考准备</t>
  </si>
  <si>
    <t>快速复习弱项Top3；确定连考时间分配和标记题策略。</t>
  </si>
  <si>
    <t>模考时间策略</t>
  </si>
  <si>
    <t>完整模考②</t>
  </si>
  <si>
    <t>240分钟连续完成一套近年真题；目标两科均52分。</t>
  </si>
  <si>
    <t>模考②成绩</t>
  </si>
  <si>
    <t>模考②复盘</t>
  </si>
  <si>
    <t>只复盘失分与犹豫题；为每个错误写下一句防错规则。</t>
  </si>
  <si>
    <t>防错规则清单</t>
  </si>
  <si>
    <t>完整模考③</t>
  </si>
  <si>
    <t>240分钟连续完成另一套真题；目标两科均52分。</t>
  </si>
  <si>
    <t>模考③成绩</t>
  </si>
  <si>
    <t>模考③复盘</t>
  </si>
  <si>
    <t>比较两次模考，锁定最后一周仅需处理的3个问题。</t>
  </si>
  <si>
    <t>最终弱项Top3</t>
  </si>
  <si>
    <t>最终稳定与收口</t>
  </si>
  <si>
    <t>最终模考①</t>
  </si>
  <si>
    <t>240分钟完成整卷；严格模拟连考；目标两科均55分。</t>
  </si>
  <si>
    <t>最终模考①成绩</t>
  </si>
  <si>
    <t>模考①复盘</t>
  </si>
  <si>
    <t>重做错题，补最弱的1个上午专题和1类下午题。</t>
  </si>
  <si>
    <t>两项补强结果</t>
  </si>
  <si>
    <t>模板与公式核对</t>
  </si>
  <si>
    <t>快速检查公式、范式、模式、UML关系和下午题答题模板。</t>
  </si>
  <si>
    <t>最终速记清单</t>
  </si>
  <si>
    <t>最终模考②</t>
  </si>
  <si>
    <t>240分钟完成整卷；目标两科均55分且无时间不足。</t>
  </si>
  <si>
    <t>最终模考②成绩</t>
  </si>
  <si>
    <t>只处理会做但失分的问题；停止扩展新知识。</t>
  </si>
  <si>
    <t>临场防错清单</t>
  </si>
  <si>
    <t>最终模考③</t>
  </si>
  <si>
    <t>完成最后一次240分钟连考；验证分数和时间稳定性。</t>
  </si>
  <si>
    <t>最终模考③成绩</t>
  </si>
  <si>
    <t>学习截止日</t>
  </si>
  <si>
    <t>30分钟查看错题Top10和考试物品清单；之后进入轻量复习。</t>
  </si>
  <si>
    <t>冲刺阶段完成确认</t>
  </si>
  <si>
    <t>考前</t>
  </si>
  <si>
    <t>轻量复习/考试</t>
  </si>
  <si>
    <t>错题Top10</t>
  </si>
  <si>
    <t>查看最常错的10个知识点，重述正确判断规则；不再刷整套题。</t>
  </si>
  <si>
    <t>保持状态或完成考试</t>
  </si>
  <si>
    <t>公式与模式</t>
  </si>
  <si>
    <t>复习计算公式、范式、常见设计模式和UML关系。</t>
  </si>
  <si>
    <t>考前准备</t>
  </si>
  <si>
    <t>确认准考证时间地点、证件和路线；只看答题模板，提前休息。</t>
  </si>
  <si>
    <t>考试窗口</t>
  </si>
  <si>
    <t>若今天考试：按准考证赴考；若未考试：30分钟轻复习并保持作息。</t>
  </si>
  <si>
    <t>若今天考试：按准考证赴考；考试结束后停止学习并记录复盘。</t>
  </si>
  <si>
    <t>模考记录</t>
  </si>
  <si>
    <t>填写蓝色分数与用时；双科通过、差距和趋势图会自动计算。分数范围0—75，总用时范围0—240分钟。</t>
  </si>
  <si>
    <t>试卷/场次</t>
  </si>
  <si>
    <t>上午分数</t>
  </si>
  <si>
    <t>下午分数</t>
  </si>
  <si>
    <t>总分</t>
  </si>
  <si>
    <t>双科结果</t>
  </si>
  <si>
    <t>上午目标</t>
  </si>
  <si>
    <t>下午目标</t>
  </si>
  <si>
    <t>上午差距</t>
  </si>
  <si>
    <t>下午差距</t>
  </si>
  <si>
    <t>总用时(分钟)</t>
  </si>
  <si>
    <t>已复盘</t>
  </si>
  <si>
    <t>前三失分原因</t>
  </si>
  <si>
    <t>下一步动作</t>
  </si>
  <si>
    <t>摸底</t>
  </si>
  <si>
    <t>诊断卷</t>
  </si>
  <si>
    <t>否</t>
  </si>
  <si>
    <t>分科计时</t>
  </si>
  <si>
    <t>第4周计时卷</t>
  </si>
  <si>
    <t>首次连考</t>
  </si>
  <si>
    <t>完整模考①</t>
  </si>
  <si>
    <t>整卷冲刺</t>
  </si>
  <si>
    <t>最终稳定</t>
  </si>
  <si>
    <t>错题本</t>
  </si>
  <si>
    <t>错因只使用四类：知识不会、概念混淆、计算失误、时间不足。同一考点与错因出现3次会自动提示专项训练。</t>
  </si>
  <si>
    <t>编号</t>
  </si>
  <si>
    <t>科目</t>
  </si>
  <si>
    <t>考点</t>
  </si>
  <si>
    <t>错因类型</t>
  </si>
  <si>
    <t>题目来源</t>
  </si>
  <si>
    <t>错误摘要</t>
  </si>
  <si>
    <t>正确思路</t>
  </si>
  <si>
    <t>一句防错规则</t>
  </si>
  <si>
    <t>同类次数</t>
  </si>
  <si>
    <t>需专项训练</t>
  </si>
  <si>
    <t>已解决</t>
  </si>
  <si>
    <t>考点地图</t>
  </si>
  <si>
    <t>每完成一个专题，就填写练习题数、正确率和自评分。状态根据正确率自动判断。</t>
  </si>
  <si>
    <t>重要度</t>
  </si>
  <si>
    <t>涉及科目</t>
  </si>
  <si>
    <t>通过目标</t>
  </si>
  <si>
    <t>首轮日期</t>
  </si>
  <si>
    <t>二轮日期</t>
  </si>
  <si>
    <t>练习题数</t>
  </si>
  <si>
    <t>正确率</t>
  </si>
  <si>
    <t>自评分(1-5)</t>
  </si>
  <si>
    <t>数据表示、校验码</t>
  </si>
  <si>
    <t>中</t>
  </si>
  <si>
    <t>上午</t>
  </si>
  <si>
    <t>掌握进制/补码/浮点/海明码</t>
  </si>
  <si>
    <t>CPU、流水线、Cache</t>
  </si>
  <si>
    <t>高</t>
  </si>
  <si>
    <t>计算命中率、流水线时间</t>
  </si>
  <si>
    <t>操作系统进程与死锁</t>
  </si>
  <si>
    <t>掌握PV、死锁与调度</t>
  </si>
  <si>
    <t>存储与文件系统</t>
  </si>
  <si>
    <t>掌握分页、页面置换、索引</t>
  </si>
  <si>
    <t>编译原理与正规式</t>
  </si>
  <si>
    <t>识别编译阶段与自动机</t>
  </si>
  <si>
    <t>线性表、栈、队列</t>
  </si>
  <si>
    <t>上午/下午</t>
  </si>
  <si>
    <t>理解操作与复杂度</t>
  </si>
  <si>
    <t>遍历、性质、哈夫曼与BST</t>
  </si>
  <si>
    <t>图算法</t>
  </si>
  <si>
    <t>遍历、MST、最短路、拓扑</t>
  </si>
  <si>
    <t>稳定性与复杂度</t>
  </si>
  <si>
    <t>算法填空与复杂度</t>
  </si>
  <si>
    <t>下午</t>
  </si>
  <si>
    <t>独立完成算法题</t>
  </si>
  <si>
    <t>关系代数与函数依赖</t>
  </si>
  <si>
    <t>正确推导键与依赖</t>
  </si>
  <si>
    <t>范式与模式分解</t>
  </si>
  <si>
    <t>掌握1NF—BCNF</t>
  </si>
  <si>
    <t>SQL、事务与并发</t>
  </si>
  <si>
    <t>熟练SQL与封锁异常</t>
  </si>
  <si>
    <t>ER转关系模式并写SQL</t>
  </si>
  <si>
    <t>网络协议与子网</t>
  </si>
  <si>
    <t>掌握分层、协议与地址计算</t>
  </si>
  <si>
    <t>区分加密、摘要、签名、认证</t>
  </si>
  <si>
    <t>软件过程与需求</t>
  </si>
  <si>
    <t>选择开发模型与需求方法</t>
  </si>
  <si>
    <t>内聚、耦合与设计原则</t>
  </si>
  <si>
    <t>正确判断模块设计质量</t>
  </si>
  <si>
    <t>软件测试</t>
  </si>
  <si>
    <t>白盒、黑盒、覆盖与复杂度</t>
  </si>
  <si>
    <t>掌握质量特性和进度估算</t>
  </si>
  <si>
    <t>掌握高频法规判断</t>
  </si>
  <si>
    <t>数据流图DFD</t>
  </si>
  <si>
    <t>规范补充实体/加工/数据流</t>
  </si>
  <si>
    <t>UML图与关系</t>
  </si>
  <si>
    <t>识别图类型、关系与多重度</t>
  </si>
  <si>
    <t>面向对象分析设计</t>
  </si>
  <si>
    <t>职责、继承、多态与关系</t>
  </si>
  <si>
    <t>创建型模式</t>
  </si>
  <si>
    <t>识别意图、结构和场景</t>
  </si>
  <si>
    <t>结构型模式</t>
  </si>
  <si>
    <t>行为型模式</t>
  </si>
  <si>
    <t>Java语法与集合</t>
  </si>
  <si>
    <t>完成Java代码填空</t>
  </si>
  <si>
    <t>Java继承、多态、接口</t>
  </si>
  <si>
    <t>完成面向对象代码题</t>
  </si>
  <si>
    <t>已完成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</si>
</sst>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"/>
  </numFmts>
  <fonts count="19">
    <font>
      <sz val="11"/>
      <name val="Carlito"/>
    </font>
    <font>
      <b/>
      <sz val="20"/>
      <color rgb="FFFFFFFF"/>
      <name val="Carlito"/>
    </font>
    <font>
      <i/>
      <sz val="11"/>
      <color rgb="FF667788"/>
      <name val="Carlito"/>
    </font>
    <font>
      <b/>
      <sz val="11"/>
      <color rgb="FFFFFFFF"/>
      <name val="Carlito"/>
    </font>
    <font>
      <sz val="11"/>
      <color rgb="FF246BCE"/>
      <name val="Carlito"/>
    </font>
    <font>
      <b/>
      <sz val="11"/>
      <color rgb="FF246BCE"/>
      <name val="Carlito"/>
    </font>
    <font>
      <b/>
      <sz val="20"/>
      <color rgb="FF246BCE"/>
      <name val="Carlito"/>
    </font>
    <font>
      <b/>
      <sz val="11"/>
      <color rgb="FF2E8B70"/>
      <name val="Carlito"/>
    </font>
    <font>
      <b/>
      <sz val="20"/>
      <color rgb="FF2E8B70"/>
      <name val="Carlito"/>
    </font>
    <font>
      <b/>
      <sz val="11"/>
      <color rgb="FFD79224"/>
      <name val="Carlito"/>
    </font>
    <font>
      <b/>
      <sz val="20"/>
      <color rgb="FFD79224"/>
      <name val="Carlito"/>
    </font>
    <font>
      <b/>
      <sz val="11"/>
      <color rgb="FF17324D"/>
      <name val="Carlito"/>
    </font>
    <font>
      <b/>
      <sz val="20"/>
      <color rgb="FF17324D"/>
      <name val="Carlito"/>
    </font>
    <font>
      <b/>
      <sz val="11"/>
      <color rgb="FFC44E52"/>
      <name val="Carlito"/>
    </font>
    <font>
      <b/>
      <sz val="20"/>
      <color rgb="FFC44E52"/>
      <name val="Carlito"/>
    </font>
    <font>
      <sz val="11"/>
      <color rgb="FF253342"/>
      <name val="Carlito"/>
    </font>
    <font>
      <sz val="11"/>
      <color rgb="FF667788"/>
      <name val="Carlito"/>
    </font>
    <font>
      <sz val="11"/>
      <name val="Carlito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5F7FA"/>
      </patternFill>
    </fill>
    <fill>
      <patternFill patternType="solid">
        <fgColor rgb="FFE8F2FF"/>
      </patternFill>
    </fill>
    <fill>
      <patternFill patternType="solid">
        <fgColor rgb="FFEAF2FC"/>
      </patternFill>
    </fill>
    <fill>
      <patternFill patternType="solid">
        <fgColor rgb="FFFFFFFF"/>
      </patternFill>
    </fill>
    <fill>
      <patternFill patternType="solid">
        <fgColor rgb="FFE7F5EF"/>
      </patternFill>
    </fill>
    <fill>
      <patternFill patternType="solid">
        <fgColor rgb="FFFFF4D6"/>
      </patternFill>
    </fill>
    <fill>
      <patternFill patternType="solid">
        <fgColor rgb="FFFBEAEC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6DEE8"/>
      </bottom>
      <diagonal/>
    </border>
    <border>
      <left/>
      <right/>
      <top style="thin">
        <color rgb="FFD6DEE8"/>
      </top>
      <bottom style="thin">
        <color rgb="FFD6DEE8"/>
      </bottom>
      <diagonal/>
    </border>
    <border>
      <left/>
      <right/>
      <top style="thin">
        <color rgb="FFD6DEE8"/>
      </top>
      <bottom/>
      <diagonal/>
    </border>
    <border>
      <left style="thin">
        <color rgb="FFD6DEE8"/>
      </left>
      <right/>
      <top style="thin">
        <color rgb="FFD6DEE8"/>
      </top>
      <bottom style="thin">
        <color rgb="FFD6DEE8"/>
      </bottom>
      <diagonal/>
    </border>
    <border>
      <left/>
      <right style="thin">
        <color rgb="FFD6DEE8"/>
      </right>
      <top style="thin">
        <color rgb="FFD6DEE8"/>
      </top>
      <bottom style="thin">
        <color rgb="FFD6DEE8"/>
      </bottom>
      <diagonal/>
    </border>
    <border>
      <left style="thin">
        <color rgb="FFD6DEE8"/>
      </left>
      <right/>
      <top style="thin">
        <color rgb="FFD6DEE8"/>
      </top>
      <bottom/>
      <diagonal/>
    </border>
    <border>
      <left/>
      <right style="thin">
        <color rgb="FFD6DEE8"/>
      </right>
      <top style="thin">
        <color rgb="FFD6DEE8"/>
      </top>
      <bottom/>
      <diagonal/>
    </border>
    <border>
      <left style="thin">
        <color rgb="FFD6DEE8"/>
      </left>
      <right/>
      <top/>
      <bottom style="thin">
        <color rgb="FFD6DEE8"/>
      </bottom>
      <diagonal/>
    </border>
    <border>
      <left/>
      <right style="thin">
        <color rgb="FFD6DEE8"/>
      </right>
      <top/>
      <bottom style="thin">
        <color rgb="FFD6DEE8"/>
      </bottom>
      <diagonal/>
    </border>
    <border>
      <left style="thin">
        <color rgb="FFD6DEE8"/>
      </left>
      <right/>
      <top/>
      <bottom/>
      <diagonal/>
    </border>
    <border>
      <left/>
      <right style="thin">
        <color rgb="FFD6DEE8"/>
      </right>
      <top/>
      <bottom/>
      <diagonal/>
    </border>
  </borders>
  <cellStyleXfs count="2">
    <xf numFmtId="0" fontId="0" fillId="0" borderId="0"/>
    <xf numFmtId="0" fontId="17" fillId="0" borderId="0"/>
  </cellStyleXfs>
  <cellXfs count="115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176" fontId="0" fillId="0" borderId="2" xfId="1" applyNumberFormat="1" applyFont="1" applyBorder="1" applyAlignment="1">
      <alignment vertical="top" wrapText="1"/>
    </xf>
    <xf numFmtId="0" fontId="0" fillId="0" borderId="2" xfId="1" applyFont="1" applyBorder="1" applyAlignment="1">
      <alignment vertical="top" wrapText="1"/>
    </xf>
    <xf numFmtId="177" fontId="0" fillId="0" borderId="2" xfId="1" applyNumberFormat="1" applyFont="1" applyBorder="1" applyAlignment="1">
      <alignment vertical="top" wrapText="1"/>
    </xf>
    <xf numFmtId="177" fontId="4" fillId="4" borderId="2" xfId="1" applyNumberFormat="1" applyFont="1" applyFill="1" applyBorder="1" applyAlignment="1">
      <alignment vertical="top" wrapText="1"/>
    </xf>
    <xf numFmtId="0" fontId="4" fillId="4" borderId="2" xfId="1" applyFont="1" applyFill="1" applyBorder="1" applyAlignment="1">
      <alignment vertical="top" wrapText="1"/>
    </xf>
    <xf numFmtId="9" fontId="0" fillId="0" borderId="2" xfId="1" applyNumberFormat="1" applyFont="1" applyBorder="1" applyAlignment="1">
      <alignment vertical="top" wrapText="1"/>
    </xf>
    <xf numFmtId="176" fontId="0" fillId="0" borderId="3" xfId="1" applyNumberFormat="1" applyFont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177" fontId="0" fillId="0" borderId="3" xfId="1" applyNumberFormat="1" applyFont="1" applyBorder="1" applyAlignment="1">
      <alignment vertical="top" wrapText="1"/>
    </xf>
    <xf numFmtId="177" fontId="4" fillId="4" borderId="3" xfId="1" applyNumberFormat="1" applyFont="1" applyFill="1" applyBorder="1" applyAlignment="1">
      <alignment vertical="top" wrapText="1"/>
    </xf>
    <xf numFmtId="0" fontId="4" fillId="4" borderId="3" xfId="1" applyFont="1" applyFill="1" applyBorder="1" applyAlignment="1">
      <alignment vertical="top" wrapText="1"/>
    </xf>
    <xf numFmtId="9" fontId="0" fillId="0" borderId="3" xfId="1" applyNumberFormat="1" applyFont="1" applyBorder="1" applyAlignment="1">
      <alignment vertical="top" wrapText="1"/>
    </xf>
    <xf numFmtId="176" fontId="0" fillId="0" borderId="4" xfId="1" applyNumberFormat="1" applyFont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177" fontId="0" fillId="0" borderId="4" xfId="1" applyNumberFormat="1" applyFont="1" applyBorder="1" applyAlignment="1">
      <alignment vertical="top" wrapText="1"/>
    </xf>
    <xf numFmtId="177" fontId="4" fillId="4" borderId="4" xfId="1" applyNumberFormat="1" applyFont="1" applyFill="1" applyBorder="1" applyAlignment="1">
      <alignment vertical="top" wrapText="1"/>
    </xf>
    <xf numFmtId="0" fontId="4" fillId="4" borderId="4" xfId="1" applyFont="1" applyFill="1" applyBorder="1" applyAlignment="1">
      <alignment vertical="top" wrapText="1"/>
    </xf>
    <xf numFmtId="9" fontId="0" fillId="0" borderId="4" xfId="1" applyNumberFormat="1" applyFont="1" applyBorder="1" applyAlignment="1">
      <alignment vertical="top" wrapText="1"/>
    </xf>
    <xf numFmtId="176" fontId="4" fillId="4" borderId="2" xfId="1" applyNumberFormat="1" applyFont="1" applyFill="1" applyBorder="1" applyAlignment="1">
      <alignment vertical="top" wrapText="1"/>
    </xf>
    <xf numFmtId="176" fontId="4" fillId="4" borderId="3" xfId="1" applyNumberFormat="1" applyFont="1" applyFill="1" applyBorder="1" applyAlignment="1">
      <alignment vertical="top" wrapText="1"/>
    </xf>
    <xf numFmtId="176" fontId="4" fillId="4" borderId="4" xfId="1" applyNumberFormat="1" applyFont="1" applyFill="1" applyBorder="1" applyAlignment="1">
      <alignment vertical="top" wrapText="1"/>
    </xf>
    <xf numFmtId="9" fontId="4" fillId="4" borderId="2" xfId="1" applyNumberFormat="1" applyFont="1" applyFill="1" applyBorder="1" applyAlignment="1">
      <alignment vertical="top" wrapText="1"/>
    </xf>
    <xf numFmtId="9" fontId="4" fillId="4" borderId="3" xfId="1" applyNumberFormat="1" applyFont="1" applyFill="1" applyBorder="1" applyAlignment="1">
      <alignment vertical="top" wrapText="1"/>
    </xf>
    <xf numFmtId="9" fontId="4" fillId="4" borderId="4" xfId="1" applyNumberFormat="1" applyFont="1" applyFill="1" applyBorder="1" applyAlignment="1">
      <alignment vertical="top" wrapText="1"/>
    </xf>
    <xf numFmtId="0" fontId="0" fillId="0" borderId="2" xfId="1" applyFont="1" applyBorder="1" applyAlignment="1">
      <alignment vertical="center"/>
    </xf>
    <xf numFmtId="177" fontId="0" fillId="0" borderId="2" xfId="1" applyNumberFormat="1" applyFont="1" applyBorder="1" applyAlignment="1">
      <alignment vertical="center"/>
    </xf>
    <xf numFmtId="9" fontId="0" fillId="0" borderId="2" xfId="1" applyNumberFormat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177" fontId="0" fillId="0" borderId="3" xfId="1" applyNumberFormat="1" applyFont="1" applyBorder="1" applyAlignment="1">
      <alignment vertical="center"/>
    </xf>
    <xf numFmtId="9" fontId="0" fillId="0" borderId="3" xfId="1" applyNumberFormat="1" applyFont="1" applyBorder="1" applyAlignment="1">
      <alignment vertical="center"/>
    </xf>
    <xf numFmtId="0" fontId="0" fillId="0" borderId="4" xfId="1" applyFont="1" applyBorder="1" applyAlignment="1">
      <alignment vertical="center"/>
    </xf>
    <xf numFmtId="177" fontId="0" fillId="0" borderId="4" xfId="1" applyNumberFormat="1" applyFont="1" applyBorder="1" applyAlignment="1">
      <alignment vertical="center"/>
    </xf>
    <xf numFmtId="9" fontId="0" fillId="0" borderId="4" xfId="1" applyNumberFormat="1" applyFont="1" applyBorder="1" applyAlignment="1">
      <alignment vertical="center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5" fillId="5" borderId="5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177" fontId="6" fillId="6" borderId="7" xfId="1" applyNumberFormat="1" applyFont="1" applyFill="1" applyBorder="1" applyAlignment="1">
      <alignment horizontal="center" vertical="center"/>
    </xf>
    <xf numFmtId="177" fontId="6" fillId="6" borderId="4" xfId="1" applyNumberFormat="1" applyFont="1" applyFill="1" applyBorder="1" applyAlignment="1">
      <alignment horizontal="center" vertical="center"/>
    </xf>
    <xf numFmtId="177" fontId="6" fillId="6" borderId="8" xfId="1" applyNumberFormat="1" applyFont="1" applyFill="1" applyBorder="1" applyAlignment="1">
      <alignment horizontal="center" vertical="center"/>
    </xf>
    <xf numFmtId="177" fontId="6" fillId="6" borderId="9" xfId="1" applyNumberFormat="1" applyFont="1" applyFill="1" applyBorder="1" applyAlignment="1">
      <alignment horizontal="center" vertical="center"/>
    </xf>
    <xf numFmtId="177" fontId="6" fillId="6" borderId="2" xfId="1" applyNumberFormat="1" applyFont="1" applyFill="1" applyBorder="1" applyAlignment="1">
      <alignment horizontal="center" vertical="center"/>
    </xf>
    <xf numFmtId="177" fontId="6" fillId="6" borderId="10" xfId="1" applyNumberFormat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7" fillId="7" borderId="3" xfId="1" applyFont="1" applyFill="1" applyBorder="1" applyAlignment="1">
      <alignment horizontal="center" vertical="center"/>
    </xf>
    <xf numFmtId="0" fontId="7" fillId="7" borderId="6" xfId="1" applyFont="1" applyFill="1" applyBorder="1" applyAlignment="1">
      <alignment horizontal="center" vertical="center"/>
    </xf>
    <xf numFmtId="177" fontId="8" fillId="6" borderId="7" xfId="1" applyNumberFormat="1" applyFont="1" applyFill="1" applyBorder="1" applyAlignment="1">
      <alignment horizontal="center" vertical="center"/>
    </xf>
    <xf numFmtId="177" fontId="8" fillId="6" borderId="4" xfId="1" applyNumberFormat="1" applyFont="1" applyFill="1" applyBorder="1" applyAlignment="1">
      <alignment horizontal="center" vertical="center"/>
    </xf>
    <xf numFmtId="177" fontId="8" fillId="6" borderId="8" xfId="1" applyNumberFormat="1" applyFont="1" applyFill="1" applyBorder="1" applyAlignment="1">
      <alignment horizontal="center" vertical="center"/>
    </xf>
    <xf numFmtId="177" fontId="8" fillId="6" borderId="9" xfId="1" applyNumberFormat="1" applyFont="1" applyFill="1" applyBorder="1" applyAlignment="1">
      <alignment horizontal="center" vertical="center"/>
    </xf>
    <xf numFmtId="177" fontId="8" fillId="6" borderId="2" xfId="1" applyNumberFormat="1" applyFont="1" applyFill="1" applyBorder="1" applyAlignment="1">
      <alignment horizontal="center" vertical="center"/>
    </xf>
    <xf numFmtId="177" fontId="8" fillId="6" borderId="10" xfId="1" applyNumberFormat="1" applyFont="1" applyFill="1" applyBorder="1" applyAlignment="1">
      <alignment horizontal="center" vertical="center"/>
    </xf>
    <xf numFmtId="0" fontId="9" fillId="8" borderId="5" xfId="1" applyFont="1" applyFill="1" applyBorder="1" applyAlignment="1">
      <alignment horizontal="center" vertical="center"/>
    </xf>
    <xf numFmtId="0" fontId="9" fillId="8" borderId="3" xfId="1" applyFont="1" applyFill="1" applyBorder="1" applyAlignment="1">
      <alignment horizontal="center" vertical="center"/>
    </xf>
    <xf numFmtId="0" fontId="9" fillId="8" borderId="6" xfId="1" applyFont="1" applyFill="1" applyBorder="1" applyAlignment="1">
      <alignment horizontal="center" vertical="center"/>
    </xf>
    <xf numFmtId="9" fontId="10" fillId="6" borderId="7" xfId="1" applyNumberFormat="1" applyFont="1" applyFill="1" applyBorder="1" applyAlignment="1">
      <alignment horizontal="center" vertical="center"/>
    </xf>
    <xf numFmtId="9" fontId="10" fillId="6" borderId="4" xfId="1" applyNumberFormat="1" applyFont="1" applyFill="1" applyBorder="1" applyAlignment="1">
      <alignment horizontal="center" vertical="center"/>
    </xf>
    <xf numFmtId="9" fontId="10" fillId="6" borderId="8" xfId="1" applyNumberFormat="1" applyFont="1" applyFill="1" applyBorder="1" applyAlignment="1">
      <alignment horizontal="center" vertical="center"/>
    </xf>
    <xf numFmtId="9" fontId="10" fillId="6" borderId="9" xfId="1" applyNumberFormat="1" applyFont="1" applyFill="1" applyBorder="1" applyAlignment="1">
      <alignment horizontal="center" vertical="center"/>
    </xf>
    <xf numFmtId="9" fontId="10" fillId="6" borderId="2" xfId="1" applyNumberFormat="1" applyFont="1" applyFill="1" applyBorder="1" applyAlignment="1">
      <alignment horizontal="center" vertical="center"/>
    </xf>
    <xf numFmtId="9" fontId="10" fillId="6" borderId="10" xfId="1" applyNumberFormat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/>
    </xf>
    <xf numFmtId="0" fontId="11" fillId="3" borderId="6" xfId="1" applyFont="1" applyFill="1" applyBorder="1" applyAlignment="1">
      <alignment horizontal="center" vertical="center"/>
    </xf>
    <xf numFmtId="1" fontId="12" fillId="6" borderId="7" xfId="1" applyNumberFormat="1" applyFont="1" applyFill="1" applyBorder="1" applyAlignment="1">
      <alignment horizontal="center" vertical="center"/>
    </xf>
    <xf numFmtId="1" fontId="12" fillId="6" borderId="4" xfId="1" applyNumberFormat="1" applyFont="1" applyFill="1" applyBorder="1" applyAlignment="1">
      <alignment horizontal="center" vertical="center"/>
    </xf>
    <xf numFmtId="1" fontId="12" fillId="6" borderId="8" xfId="1" applyNumberFormat="1" applyFont="1" applyFill="1" applyBorder="1" applyAlignment="1">
      <alignment horizontal="center" vertical="center"/>
    </xf>
    <xf numFmtId="1" fontId="12" fillId="6" borderId="9" xfId="1" applyNumberFormat="1" applyFont="1" applyFill="1" applyBorder="1" applyAlignment="1">
      <alignment horizontal="center" vertical="center"/>
    </xf>
    <xf numFmtId="1" fontId="12" fillId="6" borderId="2" xfId="1" applyNumberFormat="1" applyFont="1" applyFill="1" applyBorder="1" applyAlignment="1">
      <alignment horizontal="center" vertical="center"/>
    </xf>
    <xf numFmtId="1" fontId="12" fillId="6" borderId="10" xfId="1" applyNumberFormat="1" applyFont="1" applyFill="1" applyBorder="1" applyAlignment="1">
      <alignment horizontal="center" vertical="center"/>
    </xf>
    <xf numFmtId="1" fontId="6" fillId="6" borderId="7" xfId="1" applyNumberFormat="1" applyFont="1" applyFill="1" applyBorder="1" applyAlignment="1">
      <alignment horizontal="center" vertical="center"/>
    </xf>
    <xf numFmtId="1" fontId="6" fillId="6" borderId="4" xfId="1" applyNumberFormat="1" applyFont="1" applyFill="1" applyBorder="1" applyAlignment="1">
      <alignment horizontal="center" vertical="center"/>
    </xf>
    <xf numFmtId="1" fontId="6" fillId="6" borderId="8" xfId="1" applyNumberFormat="1" applyFont="1" applyFill="1" applyBorder="1" applyAlignment="1">
      <alignment horizontal="center" vertical="center"/>
    </xf>
    <xf numFmtId="1" fontId="6" fillId="6" borderId="9" xfId="1" applyNumberFormat="1" applyFont="1" applyFill="1" applyBorder="1" applyAlignment="1">
      <alignment horizontal="center" vertical="center"/>
    </xf>
    <xf numFmtId="1" fontId="6" fillId="6" borderId="2" xfId="1" applyNumberFormat="1" applyFont="1" applyFill="1" applyBorder="1" applyAlignment="1">
      <alignment horizontal="center" vertical="center"/>
    </xf>
    <xf numFmtId="1" fontId="6" fillId="6" borderId="10" xfId="1" applyNumberFormat="1" applyFont="1" applyFill="1" applyBorder="1" applyAlignment="1">
      <alignment horizontal="center" vertical="center"/>
    </xf>
    <xf numFmtId="1" fontId="8" fillId="6" borderId="7" xfId="1" applyNumberFormat="1" applyFont="1" applyFill="1" applyBorder="1" applyAlignment="1">
      <alignment horizontal="center" vertical="center"/>
    </xf>
    <xf numFmtId="1" fontId="8" fillId="6" borderId="4" xfId="1" applyNumberFormat="1" applyFont="1" applyFill="1" applyBorder="1" applyAlignment="1">
      <alignment horizontal="center" vertical="center"/>
    </xf>
    <xf numFmtId="1" fontId="8" fillId="6" borderId="8" xfId="1" applyNumberFormat="1" applyFont="1" applyFill="1" applyBorder="1" applyAlignment="1">
      <alignment horizontal="center" vertical="center"/>
    </xf>
    <xf numFmtId="1" fontId="8" fillId="6" borderId="9" xfId="1" applyNumberFormat="1" applyFont="1" applyFill="1" applyBorder="1" applyAlignment="1">
      <alignment horizontal="center" vertical="center"/>
    </xf>
    <xf numFmtId="1" fontId="8" fillId="6" borderId="2" xfId="1" applyNumberFormat="1" applyFont="1" applyFill="1" applyBorder="1" applyAlignment="1">
      <alignment horizontal="center" vertical="center"/>
    </xf>
    <xf numFmtId="1" fontId="8" fillId="6" borderId="10" xfId="1" applyNumberFormat="1" applyFont="1" applyFill="1" applyBorder="1" applyAlignment="1">
      <alignment horizontal="center" vertical="center"/>
    </xf>
    <xf numFmtId="0" fontId="13" fillId="9" borderId="5" xfId="1" applyFont="1" applyFill="1" applyBorder="1" applyAlignment="1">
      <alignment horizontal="center" vertical="center"/>
    </xf>
    <xf numFmtId="0" fontId="13" fillId="9" borderId="3" xfId="1" applyFont="1" applyFill="1" applyBorder="1" applyAlignment="1">
      <alignment horizontal="center" vertical="center"/>
    </xf>
    <xf numFmtId="0" fontId="13" fillId="9" borderId="6" xfId="1" applyFont="1" applyFill="1" applyBorder="1" applyAlignment="1">
      <alignment horizontal="center" vertical="center"/>
    </xf>
    <xf numFmtId="1" fontId="14" fillId="6" borderId="7" xfId="1" applyNumberFormat="1" applyFont="1" applyFill="1" applyBorder="1" applyAlignment="1">
      <alignment horizontal="center" vertical="center"/>
    </xf>
    <xf numFmtId="1" fontId="14" fillId="6" borderId="4" xfId="1" applyNumberFormat="1" applyFont="1" applyFill="1" applyBorder="1" applyAlignment="1">
      <alignment horizontal="center" vertical="center"/>
    </xf>
    <xf numFmtId="1" fontId="14" fillId="6" borderId="8" xfId="1" applyNumberFormat="1" applyFont="1" applyFill="1" applyBorder="1" applyAlignment="1">
      <alignment horizontal="center" vertical="center"/>
    </xf>
    <xf numFmtId="1" fontId="14" fillId="6" borderId="9" xfId="1" applyNumberFormat="1" applyFont="1" applyFill="1" applyBorder="1" applyAlignment="1">
      <alignment horizontal="center" vertical="center"/>
    </xf>
    <xf numFmtId="1" fontId="14" fillId="6" borderId="2" xfId="1" applyNumberFormat="1" applyFont="1" applyFill="1" applyBorder="1" applyAlignment="1">
      <alignment horizontal="center" vertical="center"/>
    </xf>
    <xf numFmtId="1" fontId="14" fillId="6" borderId="10" xfId="1" applyNumberFormat="1" applyFont="1" applyFill="1" applyBorder="1" applyAlignment="1">
      <alignment horizontal="center" vertical="center"/>
    </xf>
    <xf numFmtId="0" fontId="11" fillId="5" borderId="5" xfId="1" applyFont="1" applyFill="1" applyBorder="1" applyAlignment="1">
      <alignment vertical="center"/>
    </xf>
    <xf numFmtId="0" fontId="11" fillId="5" borderId="3" xfId="1" applyFont="1" applyFill="1" applyBorder="1" applyAlignment="1">
      <alignment vertical="center"/>
    </xf>
    <xf numFmtId="0" fontId="11" fillId="5" borderId="6" xfId="1" applyFont="1" applyFill="1" applyBorder="1" applyAlignment="1">
      <alignment vertical="center"/>
    </xf>
    <xf numFmtId="0" fontId="15" fillId="3" borderId="7" xfId="1" applyFont="1" applyFill="1" applyBorder="1" applyAlignment="1">
      <alignment vertical="top" wrapText="1"/>
    </xf>
    <xf numFmtId="0" fontId="15" fillId="3" borderId="4" xfId="1" applyFont="1" applyFill="1" applyBorder="1" applyAlignment="1">
      <alignment vertical="top" wrapText="1"/>
    </xf>
    <xf numFmtId="0" fontId="15" fillId="3" borderId="8" xfId="1" applyFont="1" applyFill="1" applyBorder="1" applyAlignment="1">
      <alignment vertical="top" wrapText="1"/>
    </xf>
    <xf numFmtId="0" fontId="15" fillId="3" borderId="11" xfId="1" applyFont="1" applyFill="1" applyBorder="1" applyAlignment="1">
      <alignment vertical="top" wrapText="1"/>
    </xf>
    <xf numFmtId="0" fontId="15" fillId="3" borderId="0" xfId="1" applyFont="1" applyFill="1" applyAlignment="1">
      <alignment vertical="top" wrapText="1"/>
    </xf>
    <xf numFmtId="0" fontId="15" fillId="3" borderId="12" xfId="1" applyFont="1" applyFill="1" applyBorder="1" applyAlignment="1">
      <alignment vertical="top" wrapText="1"/>
    </xf>
    <xf numFmtId="0" fontId="15" fillId="3" borderId="9" xfId="1" applyFont="1" applyFill="1" applyBorder="1" applyAlignment="1">
      <alignment vertical="top" wrapText="1"/>
    </xf>
    <xf numFmtId="0" fontId="15" fillId="3" borderId="2" xfId="1" applyFont="1" applyFill="1" applyBorder="1" applyAlignment="1">
      <alignment vertical="top" wrapText="1"/>
    </xf>
    <xf numFmtId="0" fontId="15" fillId="3" borderId="10" xfId="1" applyFont="1" applyFill="1" applyBorder="1" applyAlignment="1">
      <alignment vertical="top" wrapText="1"/>
    </xf>
    <xf numFmtId="0" fontId="16" fillId="6" borderId="7" xfId="1" applyFont="1" applyFill="1" applyBorder="1" applyAlignment="1">
      <alignment vertical="top" wrapText="1"/>
    </xf>
    <xf numFmtId="0" fontId="16" fillId="6" borderId="4" xfId="1" applyFont="1" applyFill="1" applyBorder="1" applyAlignment="1">
      <alignment vertical="top" wrapText="1"/>
    </xf>
    <xf numFmtId="0" fontId="16" fillId="6" borderId="8" xfId="1" applyFont="1" applyFill="1" applyBorder="1" applyAlignment="1">
      <alignment vertical="top" wrapText="1"/>
    </xf>
    <xf numFmtId="0" fontId="16" fillId="6" borderId="11" xfId="1" applyFont="1" applyFill="1" applyBorder="1" applyAlignment="1">
      <alignment vertical="top" wrapText="1"/>
    </xf>
    <xf numFmtId="0" fontId="16" fillId="6" borderId="0" xfId="1" applyFont="1" applyFill="1" applyAlignment="1">
      <alignment vertical="top" wrapText="1"/>
    </xf>
    <xf numFmtId="0" fontId="16" fillId="6" borderId="12" xfId="1" applyFont="1" applyFill="1" applyBorder="1" applyAlignment="1">
      <alignment vertical="top" wrapText="1"/>
    </xf>
    <xf numFmtId="0" fontId="16" fillId="6" borderId="9" xfId="1" applyFont="1" applyFill="1" applyBorder="1" applyAlignment="1">
      <alignment vertical="top" wrapText="1"/>
    </xf>
    <xf numFmtId="0" fontId="16" fillId="6" borderId="2" xfId="1" applyFont="1" applyFill="1" applyBorder="1" applyAlignment="1">
      <alignment vertical="top" wrapText="1"/>
    </xf>
    <xf numFmtId="0" fontId="16" fillId="6" borderId="10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10">
    <dxf>
      <font>
        <b/>
        <color rgb="FFC44E52"/>
      </font>
      <fill>
        <patternFill patternType="solid">
          <bgColor rgb="FFFBEAEC"/>
        </patternFill>
      </fill>
    </dxf>
    <dxf>
      <font>
        <b/>
        <color rgb="FF2E8B70"/>
      </font>
      <fill>
        <patternFill patternType="solid">
          <bgColor rgb="FFE7F5EF"/>
        </patternFill>
      </fill>
    </dxf>
    <dxf>
      <font>
        <b/>
        <color rgb="FF2E8B70"/>
      </font>
      <fill>
        <patternFill patternType="solid">
          <bgColor rgb="FFE7F5EF"/>
        </patternFill>
      </fill>
    </dxf>
    <dxf>
      <font>
        <b/>
        <color rgb="FFC44E52"/>
      </font>
      <fill>
        <patternFill patternType="solid">
          <bgColor rgb="FFFBEAEC"/>
        </patternFill>
      </fill>
    </dxf>
    <dxf>
      <font>
        <b/>
        <color rgb="FFC44E52"/>
      </font>
      <fill>
        <patternFill patternType="solid">
          <bgColor rgb="FFFBEAEC"/>
        </patternFill>
      </fill>
    </dxf>
    <dxf>
      <font>
        <b/>
        <color rgb="FF2E8B70"/>
      </font>
      <fill>
        <patternFill patternType="solid">
          <bgColor rgb="FFE7F5EF"/>
        </patternFill>
      </fill>
    </dxf>
    <dxf>
      <font>
        <b/>
        <color rgb="FFC44E52"/>
      </font>
      <fill>
        <patternFill patternType="solid">
          <bgColor rgb="FFFBEAEC"/>
        </patternFill>
      </fill>
    </dxf>
    <dxf>
      <font>
        <b/>
        <color rgb="FF2E8B70"/>
      </font>
      <fill>
        <patternFill patternType="solid">
          <bgColor rgb="FFE7F5EF"/>
        </patternFill>
      </fill>
    </dxf>
    <dxf>
      <font>
        <b/>
        <color rgb="FFC44E52"/>
      </font>
      <fill>
        <patternFill patternType="solid">
          <bgColor rgb="FFFBEAEC"/>
        </patternFill>
      </fill>
    </dxf>
    <dxf>
      <font>
        <b/>
        <color rgb="FF2E8B70"/>
      </font>
      <fill>
        <patternFill patternType="solid">
          <bgColor rgb="FFE7F5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模考双科分数趋势（目标</a:t>
            </a:r>
            <a:r>
              <a:rPr lang="en-US" altLang="zh-CN"/>
              <a:t>55</a:t>
            </a:r>
            <a:r>
              <a:rPr lang="zh-CN" altLang="en-US"/>
              <a:t>分）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上午</c:v>
          </c:tx>
          <c:marker>
            <c:symbol val="none"/>
          </c:marker>
          <c:cat>
            <c:strRef>
              <c:f>模考记录!$C$5:$C$12</c:f>
              <c:strCache>
                <c:ptCount val="8"/>
                <c:pt idx="0">
                  <c:v>诊断卷</c:v>
                </c:pt>
                <c:pt idx="1">
                  <c:v>第4周计时卷</c:v>
                </c:pt>
                <c:pt idx="2">
                  <c:v>完整模考①</c:v>
                </c:pt>
                <c:pt idx="3">
                  <c:v>完整模考②</c:v>
                </c:pt>
                <c:pt idx="4">
                  <c:v>完整模考③</c:v>
                </c:pt>
                <c:pt idx="5">
                  <c:v>最终模考①</c:v>
                </c:pt>
                <c:pt idx="6">
                  <c:v>最终模考②</c:v>
                </c:pt>
                <c:pt idx="7">
                  <c:v>最终模考③</c:v>
                </c:pt>
              </c:strCache>
            </c:strRef>
          </c:cat>
          <c:val>
            <c:numRef>
              <c:f>模考记录!$D$5:$D$12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9-4EC4-90FD-6A513ED5BC0E}"/>
            </c:ext>
          </c:extLst>
        </c:ser>
        <c:ser>
          <c:idx val="1"/>
          <c:order val="1"/>
          <c:tx>
            <c:v>下午</c:v>
          </c:tx>
          <c:marker>
            <c:symbol val="none"/>
          </c:marker>
          <c:cat>
            <c:strRef>
              <c:f>模考记录!$C$5:$C$12</c:f>
              <c:strCache>
                <c:ptCount val="8"/>
                <c:pt idx="0">
                  <c:v>诊断卷</c:v>
                </c:pt>
                <c:pt idx="1">
                  <c:v>第4周计时卷</c:v>
                </c:pt>
                <c:pt idx="2">
                  <c:v>完整模考①</c:v>
                </c:pt>
                <c:pt idx="3">
                  <c:v>完整模考②</c:v>
                </c:pt>
                <c:pt idx="4">
                  <c:v>完整模考③</c:v>
                </c:pt>
                <c:pt idx="5">
                  <c:v>最终模考①</c:v>
                </c:pt>
                <c:pt idx="6">
                  <c:v>最终模考②</c:v>
                </c:pt>
                <c:pt idx="7">
                  <c:v>最终模考③</c:v>
                </c:pt>
              </c:strCache>
            </c:strRef>
          </c:cat>
          <c:val>
            <c:numRef>
              <c:f>模考记录!$E$5:$E$12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9-4EC4-90FD-6A513ED5B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75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lyPlanTable" displayName="DailyPlanTable" ref="A4:L67" totalsRowShown="0">
  <tableColumns count="12">
    <tableColumn id="1" xr3:uid="{00000000-0010-0000-0000-000001000000}" name="日期"/>
    <tableColumn id="2" xr3:uid="{00000000-0010-0000-0000-000002000000}" name="星期"/>
    <tableColumn id="3" xr3:uid="{00000000-0010-0000-0000-000003000000}" name="周次"/>
    <tableColumn id="4" xr3:uid="{00000000-0010-0000-0000-000004000000}" name="阶段"/>
    <tableColumn id="5" xr3:uid="{00000000-0010-0000-0000-000005000000}" name="今日主题"/>
    <tableColumn id="6" xr3:uid="{00000000-0010-0000-0000-000006000000}" name="具体任务"/>
    <tableColumn id="7" xr3:uid="{00000000-0010-0000-0000-000007000000}" name="计划时长(h)"/>
    <tableColumn id="8" xr3:uid="{00000000-0010-0000-0000-000008000000}" name="实际时长(h)"/>
    <tableColumn id="9" xr3:uid="{00000000-0010-0000-0000-000009000000}" name="状态"/>
    <tableColumn id="10" xr3:uid="{00000000-0010-0000-0000-00000A000000}" name="完成率"/>
    <tableColumn id="11" xr3:uid="{00000000-0010-0000-0000-00000B000000}" name="当天产出"/>
    <tableColumn id="12" xr3:uid="{00000000-0010-0000-0000-00000C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ckTable" displayName="MockTable" ref="A4:O12" totalsRowShown="0">
  <tableColumns count="15">
    <tableColumn id="1" xr3:uid="{00000000-0010-0000-0100-000001000000}" name="日期"/>
    <tableColumn id="2" xr3:uid="{00000000-0010-0000-0100-000002000000}" name="阶段"/>
    <tableColumn id="3" xr3:uid="{00000000-0010-0000-0100-000003000000}" name="试卷/场次"/>
    <tableColumn id="4" xr3:uid="{00000000-0010-0000-0100-000004000000}" name="上午分数"/>
    <tableColumn id="5" xr3:uid="{00000000-0010-0000-0100-000005000000}" name="下午分数"/>
    <tableColumn id="6" xr3:uid="{00000000-0010-0000-0100-000006000000}" name="总分"/>
    <tableColumn id="7" xr3:uid="{00000000-0010-0000-0100-000007000000}" name="双科结果"/>
    <tableColumn id="8" xr3:uid="{00000000-0010-0000-0100-000008000000}" name="上午目标"/>
    <tableColumn id="9" xr3:uid="{00000000-0010-0000-0100-000009000000}" name="下午目标"/>
    <tableColumn id="10" xr3:uid="{00000000-0010-0000-0100-00000A000000}" name="上午差距"/>
    <tableColumn id="11" xr3:uid="{00000000-0010-0000-0100-00000B000000}" name="下午差距"/>
    <tableColumn id="12" xr3:uid="{00000000-0010-0000-0100-00000C000000}" name="总用时(分钟)"/>
    <tableColumn id="13" xr3:uid="{00000000-0010-0000-0100-00000D000000}" name="已复盘"/>
    <tableColumn id="14" xr3:uid="{00000000-0010-0000-0100-00000E000000}" name="前三失分原因"/>
    <tableColumn id="15" xr3:uid="{00000000-0010-0000-0100-00000F000000}" name="下一步动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KnowledgeMapTable" displayName="KnowledgeMapTable" ref="A4:K33" totalsRowShown="0">
  <tableColumns count="11">
    <tableColumn id="1" xr3:uid="{00000000-0010-0000-0200-000001000000}" name="考点"/>
    <tableColumn id="2" xr3:uid="{00000000-0010-0000-0200-000002000000}" name="重要度"/>
    <tableColumn id="3" xr3:uid="{00000000-0010-0000-0200-000003000000}" name="涉及科目"/>
    <tableColumn id="4" xr3:uid="{00000000-0010-0000-0200-000004000000}" name="通过目标"/>
    <tableColumn id="5" xr3:uid="{00000000-0010-0000-0200-000005000000}" name="首轮日期"/>
    <tableColumn id="6" xr3:uid="{00000000-0010-0000-0200-000006000000}" name="二轮日期"/>
    <tableColumn id="7" xr3:uid="{00000000-0010-0000-0200-000007000000}" name="练习题数"/>
    <tableColumn id="8" xr3:uid="{00000000-0010-0000-0200-000008000000}" name="正确率"/>
    <tableColumn id="9" xr3:uid="{00000000-0010-0000-0200-000009000000}" name="状态"/>
    <tableColumn id="10" xr3:uid="{00000000-0010-0000-0200-00000A000000}" name="自评分(1-5)"/>
    <tableColumn id="11" xr3:uid="{00000000-0010-0000-0200-00000B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showGridLines="0" workbookViewId="0">
      <selection sqref="A1:L1"/>
    </sheetView>
  </sheetViews>
  <sheetFormatPr defaultRowHeight="14.25"/>
  <cols>
    <col min="1" max="12" width="12" customWidth="1"/>
  </cols>
  <sheetData>
    <row r="1" spans="1:12" ht="33.950000000000003" customHeight="1">
      <c r="A1" s="35" t="s">
        <v>0</v>
      </c>
      <c r="B1" s="35" t="s">
        <v>0</v>
      </c>
      <c r="C1" s="35" t="s">
        <v>0</v>
      </c>
      <c r="D1" s="35" t="s">
        <v>0</v>
      </c>
      <c r="E1" s="35" t="s">
        <v>0</v>
      </c>
      <c r="F1" s="35" t="s">
        <v>0</v>
      </c>
      <c r="G1" s="35" t="s">
        <v>0</v>
      </c>
      <c r="H1" s="35" t="s">
        <v>0</v>
      </c>
      <c r="I1" s="35" t="s">
        <v>0</v>
      </c>
      <c r="J1" s="35" t="s">
        <v>0</v>
      </c>
      <c r="K1" s="35" t="s">
        <v>0</v>
      </c>
      <c r="L1" s="35" t="s">
        <v>0</v>
      </c>
    </row>
    <row r="2" spans="1:12" ht="30" customHeight="1">
      <c r="A2" s="36" t="s">
        <v>1</v>
      </c>
      <c r="B2" s="36" t="s">
        <v>1</v>
      </c>
      <c r="C2" s="36" t="s">
        <v>1</v>
      </c>
      <c r="D2" s="36" t="s">
        <v>1</v>
      </c>
      <c r="E2" s="36" t="s">
        <v>1</v>
      </c>
      <c r="F2" s="36" t="s">
        <v>1</v>
      </c>
      <c r="G2" s="36" t="s">
        <v>1</v>
      </c>
      <c r="H2" s="36" t="s">
        <v>1</v>
      </c>
      <c r="I2" s="36" t="s">
        <v>1</v>
      </c>
      <c r="J2" s="36" t="s">
        <v>1</v>
      </c>
      <c r="K2" s="36" t="s">
        <v>1</v>
      </c>
      <c r="L2" s="36" t="s">
        <v>1</v>
      </c>
    </row>
    <row r="4" spans="1:12" ht="15">
      <c r="A4" s="37" t="s">
        <v>2</v>
      </c>
      <c r="B4" s="38" t="s">
        <v>2</v>
      </c>
      <c r="C4" s="39" t="s">
        <v>2</v>
      </c>
      <c r="D4" s="46" t="s">
        <v>3</v>
      </c>
      <c r="E4" s="47" t="s">
        <v>3</v>
      </c>
      <c r="F4" s="48" t="s">
        <v>3</v>
      </c>
      <c r="G4" s="55" t="s">
        <v>4</v>
      </c>
      <c r="H4" s="56" t="s">
        <v>4</v>
      </c>
      <c r="I4" s="57" t="s">
        <v>4</v>
      </c>
      <c r="J4" s="64" t="s">
        <v>5</v>
      </c>
      <c r="K4" s="65" t="s">
        <v>5</v>
      </c>
      <c r="L4" s="66" t="s">
        <v>5</v>
      </c>
    </row>
    <row r="5" spans="1:12">
      <c r="A5" s="40">
        <f>SUM(每日计划!G5:G67)</f>
        <v>148.5</v>
      </c>
      <c r="B5" s="41"/>
      <c r="C5" s="42"/>
      <c r="D5" s="49">
        <f>SUM(每日计划!H5:H67)</f>
        <v>56</v>
      </c>
      <c r="E5" s="50"/>
      <c r="F5" s="51"/>
      <c r="G5" s="58">
        <f>IFERROR(SUM(每日计划!H5:H67)/SUM(每日计划!G5:G67),0)</f>
        <v>0.37710437710437711</v>
      </c>
      <c r="H5" s="59"/>
      <c r="I5" s="60"/>
      <c r="J5" s="67">
        <f>COUNTIF(每日计划!I5:I67,"已完成")</f>
        <v>22</v>
      </c>
      <c r="K5" s="68"/>
      <c r="L5" s="69"/>
    </row>
    <row r="6" spans="1:12">
      <c r="A6" s="43"/>
      <c r="B6" s="44"/>
      <c r="C6" s="45"/>
      <c r="D6" s="52"/>
      <c r="E6" s="53"/>
      <c r="F6" s="54"/>
      <c r="G6" s="61"/>
      <c r="H6" s="62"/>
      <c r="I6" s="63"/>
      <c r="J6" s="70"/>
      <c r="K6" s="71"/>
      <c r="L6" s="72"/>
    </row>
    <row r="8" spans="1:12" ht="15">
      <c r="A8" s="37" t="s">
        <v>6</v>
      </c>
      <c r="B8" s="38" t="s">
        <v>6</v>
      </c>
      <c r="C8" s="39" t="s">
        <v>6</v>
      </c>
      <c r="D8" s="37" t="s">
        <v>7</v>
      </c>
      <c r="E8" s="38" t="s">
        <v>7</v>
      </c>
      <c r="F8" s="39" t="s">
        <v>7</v>
      </c>
      <c r="G8" s="46" t="s">
        <v>8</v>
      </c>
      <c r="H8" s="47" t="s">
        <v>8</v>
      </c>
      <c r="I8" s="48" t="s">
        <v>8</v>
      </c>
      <c r="J8" s="85" t="s">
        <v>9</v>
      </c>
      <c r="K8" s="86" t="s">
        <v>9</v>
      </c>
      <c r="L8" s="87" t="s">
        <v>9</v>
      </c>
    </row>
    <row r="9" spans="1:12">
      <c r="A9" s="73" t="str">
        <f>IF(COUNT(模考记录!D5:D12)=0,"—",MAX(模考记录!D5:D12))</f>
        <v>—</v>
      </c>
      <c r="B9" s="74"/>
      <c r="C9" s="75"/>
      <c r="D9" s="73" t="str">
        <f>IF(COUNT(模考记录!E5:E12)=0,"—",MAX(模考记录!E5:E12))</f>
        <v>—</v>
      </c>
      <c r="E9" s="74"/>
      <c r="F9" s="75"/>
      <c r="G9" s="79">
        <f>COUNTIF(模考记录!G5:G12,"双科通过")</f>
        <v>0</v>
      </c>
      <c r="H9" s="80"/>
      <c r="I9" s="81"/>
      <c r="J9" s="88">
        <f>COUNTIF(错题本!K5:K204,"是")</f>
        <v>0</v>
      </c>
      <c r="K9" s="89"/>
      <c r="L9" s="90"/>
    </row>
    <row r="10" spans="1:12">
      <c r="A10" s="76"/>
      <c r="B10" s="77"/>
      <c r="C10" s="78"/>
      <c r="D10" s="76"/>
      <c r="E10" s="77"/>
      <c r="F10" s="78"/>
      <c r="G10" s="82"/>
      <c r="H10" s="83"/>
      <c r="I10" s="84"/>
      <c r="J10" s="91"/>
      <c r="K10" s="92"/>
      <c r="L10" s="93"/>
    </row>
    <row r="12" spans="1:12" ht="15">
      <c r="A12" s="94" t="s">
        <v>10</v>
      </c>
      <c r="B12" s="95" t="s">
        <v>10</v>
      </c>
      <c r="C12" s="95" t="s">
        <v>10</v>
      </c>
      <c r="D12" s="95" t="s">
        <v>10</v>
      </c>
      <c r="E12" s="95" t="s">
        <v>10</v>
      </c>
      <c r="F12" s="96" t="s">
        <v>10</v>
      </c>
    </row>
    <row r="13" spans="1:12" ht="15">
      <c r="A13" s="1" t="s">
        <v>11</v>
      </c>
      <c r="B13" s="1" t="s">
        <v>12</v>
      </c>
      <c r="C13" s="1" t="s">
        <v>13</v>
      </c>
      <c r="D13" s="1" t="s">
        <v>4</v>
      </c>
      <c r="E13" s="1" t="s">
        <v>14</v>
      </c>
      <c r="F13" s="1" t="s">
        <v>15</v>
      </c>
    </row>
    <row r="14" spans="1:12">
      <c r="A14" s="26" t="s">
        <v>16</v>
      </c>
      <c r="B14" s="27">
        <f>SUMIF(每日计划!C5:C67,A14,每日计划!G5:G67)</f>
        <v>18</v>
      </c>
      <c r="C14" s="27">
        <f>SUMIF(每日计划!C5:C67,A14,每日计划!H5:H67)</f>
        <v>18</v>
      </c>
      <c r="D14" s="28">
        <f t="shared" ref="D14:D21" si="0">IFERROR(C14/B14,0)</f>
        <v>1</v>
      </c>
      <c r="E14" s="26">
        <f>COUNTIFS(每日计划!C5:C67,A14,每日计划!I5:I67,"已完成")</f>
        <v>7</v>
      </c>
      <c r="F14" s="26" t="str">
        <f t="shared" ref="F14:F21" si="1">IF(E14=0,"未开始",IF(D14&gt;=0.9,"达标",IF(D14&gt;=0.7,"推进中","需补课")))</f>
        <v>达标</v>
      </c>
    </row>
    <row r="15" spans="1:12">
      <c r="A15" s="29" t="s">
        <v>17</v>
      </c>
      <c r="B15" s="30">
        <f>SUMIF(每日计划!C5:C67,A15,每日计划!G5:G67)</f>
        <v>18</v>
      </c>
      <c r="C15" s="30">
        <f>SUMIF(每日计划!C5:C67,A15,每日计划!H5:H67)</f>
        <v>18</v>
      </c>
      <c r="D15" s="31">
        <f t="shared" si="0"/>
        <v>1</v>
      </c>
      <c r="E15" s="29">
        <f>COUNTIFS(每日计划!C5:C67,A15,每日计划!I5:I67,"已完成")</f>
        <v>7</v>
      </c>
      <c r="F15" s="29" t="str">
        <f t="shared" si="1"/>
        <v>达标</v>
      </c>
    </row>
    <row r="16" spans="1:12">
      <c r="A16" s="29" t="s">
        <v>18</v>
      </c>
      <c r="B16" s="30">
        <f>SUMIF(每日计划!C5:C67,A16,每日计划!G5:G67)</f>
        <v>18</v>
      </c>
      <c r="C16" s="30">
        <f>SUMIF(每日计划!C5:C67,A16,每日计划!H5:H67)</f>
        <v>18</v>
      </c>
      <c r="D16" s="31">
        <f t="shared" si="0"/>
        <v>1</v>
      </c>
      <c r="E16" s="29">
        <f>COUNTIFS(每日计划!C5:C67,A16,每日计划!I5:I67,"已完成")</f>
        <v>7</v>
      </c>
      <c r="F16" s="29" t="str">
        <f t="shared" si="1"/>
        <v>达标</v>
      </c>
    </row>
    <row r="17" spans="1:12">
      <c r="A17" s="29" t="s">
        <v>19</v>
      </c>
      <c r="B17" s="30">
        <f>SUMIF(每日计划!C5:C67,A17,每日计划!G5:G67)</f>
        <v>18</v>
      </c>
      <c r="C17" s="30">
        <f>SUMIF(每日计划!C5:C67,A17,每日计划!H5:H67)</f>
        <v>2</v>
      </c>
      <c r="D17" s="31">
        <f t="shared" si="0"/>
        <v>0.1111111111111111</v>
      </c>
      <c r="E17" s="29">
        <f>COUNTIFS(每日计划!C5:C67,A17,每日计划!I5:I67,"已完成")</f>
        <v>1</v>
      </c>
      <c r="F17" s="29" t="str">
        <f t="shared" si="1"/>
        <v>需补课</v>
      </c>
    </row>
    <row r="18" spans="1:12">
      <c r="A18" s="29" t="s">
        <v>20</v>
      </c>
      <c r="B18" s="30">
        <f>SUMIF(每日计划!C5:C67,A18,每日计划!G5:G67)</f>
        <v>18</v>
      </c>
      <c r="C18" s="30">
        <f>SUMIF(每日计划!C5:C67,A18,每日计划!H5:H67)</f>
        <v>0</v>
      </c>
      <c r="D18" s="31">
        <f t="shared" si="0"/>
        <v>0</v>
      </c>
      <c r="E18" s="29">
        <f>COUNTIFS(每日计划!C5:C67,A18,每日计划!I5:I67,"已完成")</f>
        <v>0</v>
      </c>
      <c r="F18" s="29" t="str">
        <f t="shared" si="1"/>
        <v>未开始</v>
      </c>
    </row>
    <row r="19" spans="1:12">
      <c r="A19" s="29" t="s">
        <v>21</v>
      </c>
      <c r="B19" s="30">
        <f>SUMIF(每日计划!C5:C67,A19,每日计划!G5:G67)</f>
        <v>18</v>
      </c>
      <c r="C19" s="30">
        <f>SUMIF(每日计划!C5:C67,A19,每日计划!H5:H67)</f>
        <v>0</v>
      </c>
      <c r="D19" s="31">
        <f t="shared" si="0"/>
        <v>0</v>
      </c>
      <c r="E19" s="29">
        <f>COUNTIFS(每日计划!C5:C67,A19,每日计划!I5:I67,"已完成")</f>
        <v>0</v>
      </c>
      <c r="F19" s="29" t="str">
        <f t="shared" si="1"/>
        <v>未开始</v>
      </c>
    </row>
    <row r="20" spans="1:12">
      <c r="A20" s="29" t="s">
        <v>22</v>
      </c>
      <c r="B20" s="30">
        <f>SUMIF(每日计划!C5:C67,A20,每日计划!G5:G67)</f>
        <v>18</v>
      </c>
      <c r="C20" s="30">
        <f>SUMIF(每日计划!C5:C67,A20,每日计划!H5:H67)</f>
        <v>0</v>
      </c>
      <c r="D20" s="31">
        <f t="shared" si="0"/>
        <v>0</v>
      </c>
      <c r="E20" s="29">
        <f>COUNTIFS(每日计划!C5:C67,A20,每日计划!I5:I67,"已完成")</f>
        <v>0</v>
      </c>
      <c r="F20" s="29" t="str">
        <f t="shared" si="1"/>
        <v>未开始</v>
      </c>
    </row>
    <row r="21" spans="1:12">
      <c r="A21" s="32" t="s">
        <v>23</v>
      </c>
      <c r="B21" s="33">
        <f>SUMIF(每日计划!C5:C67,A21,每日计划!G5:G67)</f>
        <v>18</v>
      </c>
      <c r="C21" s="33">
        <f>SUMIF(每日计划!C5:C67,A21,每日计划!H5:H67)</f>
        <v>0</v>
      </c>
      <c r="D21" s="34">
        <f t="shared" si="0"/>
        <v>0</v>
      </c>
      <c r="E21" s="32">
        <f>COUNTIFS(每日计划!C5:C67,A21,每日计划!I5:I67,"已完成")</f>
        <v>0</v>
      </c>
      <c r="F21" s="32" t="str">
        <f t="shared" si="1"/>
        <v>未开始</v>
      </c>
    </row>
    <row r="23" spans="1:12" ht="15">
      <c r="A23" s="94" t="s">
        <v>24</v>
      </c>
      <c r="B23" s="95" t="s">
        <v>24</v>
      </c>
      <c r="C23" s="95" t="s">
        <v>24</v>
      </c>
      <c r="D23" s="95" t="s">
        <v>24</v>
      </c>
      <c r="E23" s="95" t="s">
        <v>24</v>
      </c>
      <c r="F23" s="95" t="s">
        <v>24</v>
      </c>
      <c r="G23" s="95" t="s">
        <v>24</v>
      </c>
      <c r="H23" s="95" t="s">
        <v>24</v>
      </c>
      <c r="I23" s="95" t="s">
        <v>24</v>
      </c>
      <c r="J23" s="95" t="s">
        <v>24</v>
      </c>
      <c r="K23" s="95" t="s">
        <v>24</v>
      </c>
      <c r="L23" s="96" t="s">
        <v>24</v>
      </c>
    </row>
    <row r="24" spans="1:12" ht="24" customHeight="1">
      <c r="A24" s="97" t="s">
        <v>25</v>
      </c>
      <c r="B24" s="98" t="s">
        <v>25</v>
      </c>
      <c r="C24" s="98" t="s">
        <v>25</v>
      </c>
      <c r="D24" s="98" t="s">
        <v>25</v>
      </c>
      <c r="E24" s="98" t="s">
        <v>25</v>
      </c>
      <c r="F24" s="98" t="s">
        <v>25</v>
      </c>
      <c r="G24" s="98" t="s">
        <v>25</v>
      </c>
      <c r="H24" s="98" t="s">
        <v>25</v>
      </c>
      <c r="I24" s="98" t="s">
        <v>25</v>
      </c>
      <c r="J24" s="98" t="s">
        <v>25</v>
      </c>
      <c r="K24" s="98" t="s">
        <v>25</v>
      </c>
      <c r="L24" s="99" t="s">
        <v>25</v>
      </c>
    </row>
    <row r="25" spans="1:12" ht="24" customHeight="1">
      <c r="A25" s="100" t="s">
        <v>25</v>
      </c>
      <c r="B25" s="101" t="s">
        <v>25</v>
      </c>
      <c r="C25" s="101" t="s">
        <v>25</v>
      </c>
      <c r="D25" s="101" t="s">
        <v>25</v>
      </c>
      <c r="E25" s="101" t="s">
        <v>25</v>
      </c>
      <c r="F25" s="101" t="s">
        <v>25</v>
      </c>
      <c r="G25" s="101" t="s">
        <v>25</v>
      </c>
      <c r="H25" s="101" t="s">
        <v>25</v>
      </c>
      <c r="I25" s="101" t="s">
        <v>25</v>
      </c>
      <c r="J25" s="101" t="s">
        <v>25</v>
      </c>
      <c r="K25" s="101" t="s">
        <v>25</v>
      </c>
      <c r="L25" s="102" t="s">
        <v>25</v>
      </c>
    </row>
    <row r="26" spans="1:12" ht="24" customHeight="1">
      <c r="A26" s="100" t="s">
        <v>25</v>
      </c>
      <c r="B26" s="101" t="s">
        <v>25</v>
      </c>
      <c r="C26" s="101" t="s">
        <v>25</v>
      </c>
      <c r="D26" s="101" t="s">
        <v>25</v>
      </c>
      <c r="E26" s="101" t="s">
        <v>25</v>
      </c>
      <c r="F26" s="101" t="s">
        <v>25</v>
      </c>
      <c r="G26" s="101" t="s">
        <v>25</v>
      </c>
      <c r="H26" s="101" t="s">
        <v>25</v>
      </c>
      <c r="I26" s="101" t="s">
        <v>25</v>
      </c>
      <c r="J26" s="101" t="s">
        <v>25</v>
      </c>
      <c r="K26" s="101" t="s">
        <v>25</v>
      </c>
      <c r="L26" s="102" t="s">
        <v>25</v>
      </c>
    </row>
    <row r="27" spans="1:12" ht="24" customHeight="1">
      <c r="A27" s="100" t="s">
        <v>25</v>
      </c>
      <c r="B27" s="101" t="s">
        <v>25</v>
      </c>
      <c r="C27" s="101" t="s">
        <v>25</v>
      </c>
      <c r="D27" s="101" t="s">
        <v>25</v>
      </c>
      <c r="E27" s="101" t="s">
        <v>25</v>
      </c>
      <c r="F27" s="101" t="s">
        <v>25</v>
      </c>
      <c r="G27" s="101" t="s">
        <v>25</v>
      </c>
      <c r="H27" s="101" t="s">
        <v>25</v>
      </c>
      <c r="I27" s="101" t="s">
        <v>25</v>
      </c>
      <c r="J27" s="101" t="s">
        <v>25</v>
      </c>
      <c r="K27" s="101" t="s">
        <v>25</v>
      </c>
      <c r="L27" s="102" t="s">
        <v>25</v>
      </c>
    </row>
    <row r="28" spans="1:12" ht="24" customHeight="1">
      <c r="A28" s="103" t="s">
        <v>25</v>
      </c>
      <c r="B28" s="104" t="s">
        <v>25</v>
      </c>
      <c r="C28" s="104" t="s">
        <v>25</v>
      </c>
      <c r="D28" s="104" t="s">
        <v>25</v>
      </c>
      <c r="E28" s="104" t="s">
        <v>25</v>
      </c>
      <c r="F28" s="104" t="s">
        <v>25</v>
      </c>
      <c r="G28" s="104" t="s">
        <v>25</v>
      </c>
      <c r="H28" s="104" t="s">
        <v>25</v>
      </c>
      <c r="I28" s="104" t="s">
        <v>25</v>
      </c>
      <c r="J28" s="104" t="s">
        <v>25</v>
      </c>
      <c r="K28" s="104" t="s">
        <v>25</v>
      </c>
      <c r="L28" s="105" t="s">
        <v>25</v>
      </c>
    </row>
    <row r="30" spans="1:12" ht="15">
      <c r="A30" s="94" t="s">
        <v>26</v>
      </c>
      <c r="B30" s="95" t="s">
        <v>26</v>
      </c>
      <c r="C30" s="95" t="s">
        <v>26</v>
      </c>
      <c r="D30" s="95" t="s">
        <v>26</v>
      </c>
      <c r="E30" s="95" t="s">
        <v>26</v>
      </c>
      <c r="F30" s="95" t="s">
        <v>26</v>
      </c>
      <c r="G30" s="95" t="s">
        <v>26</v>
      </c>
      <c r="H30" s="95" t="s">
        <v>26</v>
      </c>
      <c r="I30" s="95" t="s">
        <v>26</v>
      </c>
      <c r="J30" s="95" t="s">
        <v>26</v>
      </c>
      <c r="K30" s="95" t="s">
        <v>26</v>
      </c>
      <c r="L30" s="96" t="s">
        <v>26</v>
      </c>
    </row>
    <row r="31" spans="1:12" ht="24.95" customHeight="1">
      <c r="A31" s="106" t="s">
        <v>27</v>
      </c>
      <c r="B31" s="107" t="s">
        <v>27</v>
      </c>
      <c r="C31" s="107" t="s">
        <v>27</v>
      </c>
      <c r="D31" s="107" t="s">
        <v>27</v>
      </c>
      <c r="E31" s="107" t="s">
        <v>27</v>
      </c>
      <c r="F31" s="107" t="s">
        <v>27</v>
      </c>
      <c r="G31" s="107" t="s">
        <v>27</v>
      </c>
      <c r="H31" s="107" t="s">
        <v>27</v>
      </c>
      <c r="I31" s="107" t="s">
        <v>27</v>
      </c>
      <c r="J31" s="107" t="s">
        <v>27</v>
      </c>
      <c r="K31" s="107" t="s">
        <v>27</v>
      </c>
      <c r="L31" s="108" t="s">
        <v>27</v>
      </c>
    </row>
    <row r="32" spans="1:12" ht="24.95" customHeight="1">
      <c r="A32" s="109" t="s">
        <v>27</v>
      </c>
      <c r="B32" s="110" t="s">
        <v>27</v>
      </c>
      <c r="C32" s="110" t="s">
        <v>27</v>
      </c>
      <c r="D32" s="110" t="s">
        <v>27</v>
      </c>
      <c r="E32" s="110" t="s">
        <v>27</v>
      </c>
      <c r="F32" s="110" t="s">
        <v>27</v>
      </c>
      <c r="G32" s="110" t="s">
        <v>27</v>
      </c>
      <c r="H32" s="110" t="s">
        <v>27</v>
      </c>
      <c r="I32" s="110" t="s">
        <v>27</v>
      </c>
      <c r="J32" s="110" t="s">
        <v>27</v>
      </c>
      <c r="K32" s="110" t="s">
        <v>27</v>
      </c>
      <c r="L32" s="111" t="s">
        <v>27</v>
      </c>
    </row>
    <row r="33" spans="1:12" ht="24.95" customHeight="1">
      <c r="A33" s="109" t="s">
        <v>27</v>
      </c>
      <c r="B33" s="110" t="s">
        <v>27</v>
      </c>
      <c r="C33" s="110" t="s">
        <v>27</v>
      </c>
      <c r="D33" s="110" t="s">
        <v>27</v>
      </c>
      <c r="E33" s="110" t="s">
        <v>27</v>
      </c>
      <c r="F33" s="110" t="s">
        <v>27</v>
      </c>
      <c r="G33" s="110" t="s">
        <v>27</v>
      </c>
      <c r="H33" s="110" t="s">
        <v>27</v>
      </c>
      <c r="I33" s="110" t="s">
        <v>27</v>
      </c>
      <c r="J33" s="110" t="s">
        <v>27</v>
      </c>
      <c r="K33" s="110" t="s">
        <v>27</v>
      </c>
      <c r="L33" s="111" t="s">
        <v>27</v>
      </c>
    </row>
    <row r="34" spans="1:12" ht="24.95" customHeight="1">
      <c r="A34" s="112" t="s">
        <v>27</v>
      </c>
      <c r="B34" s="113" t="s">
        <v>27</v>
      </c>
      <c r="C34" s="113" t="s">
        <v>27</v>
      </c>
      <c r="D34" s="113" t="s">
        <v>27</v>
      </c>
      <c r="E34" s="113" t="s">
        <v>27</v>
      </c>
      <c r="F34" s="113" t="s">
        <v>27</v>
      </c>
      <c r="G34" s="113" t="s">
        <v>27</v>
      </c>
      <c r="H34" s="113" t="s">
        <v>27</v>
      </c>
      <c r="I34" s="113" t="s">
        <v>27</v>
      </c>
      <c r="J34" s="113" t="s">
        <v>27</v>
      </c>
      <c r="K34" s="113" t="s">
        <v>27</v>
      </c>
      <c r="L34" s="114" t="s">
        <v>27</v>
      </c>
    </row>
  </sheetData>
  <mergeCells count="23">
    <mergeCell ref="A30:L30"/>
    <mergeCell ref="A31:L34"/>
    <mergeCell ref="J8:L8"/>
    <mergeCell ref="J9:L10"/>
    <mergeCell ref="A12:F12"/>
    <mergeCell ref="A23:L23"/>
    <mergeCell ref="A24:L28"/>
    <mergeCell ref="A8:C8"/>
    <mergeCell ref="A9:C10"/>
    <mergeCell ref="D8:F8"/>
    <mergeCell ref="D9:F10"/>
    <mergeCell ref="G8:I8"/>
    <mergeCell ref="G9:I10"/>
    <mergeCell ref="A1:L1"/>
    <mergeCell ref="A2:L2"/>
    <mergeCell ref="A4:C4"/>
    <mergeCell ref="A5:C6"/>
    <mergeCell ref="D4:F4"/>
    <mergeCell ref="D5:F6"/>
    <mergeCell ref="G4:I4"/>
    <mergeCell ref="G5:I6"/>
    <mergeCell ref="J4:L4"/>
    <mergeCell ref="J5:L6"/>
  </mergeCells>
  <phoneticPr fontId="18" type="noConversion"/>
  <conditionalFormatting sqref="F14:F21">
    <cfRule type="containsText" dxfId="9" priority="1" operator="containsText" text="达标"/>
    <cfRule type="containsText" dxfId="8" priority="2" operator="containsText" text="需补课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7"/>
  <sheetViews>
    <sheetView showGridLines="0" tabSelected="1" topLeftCell="A17" workbookViewId="0">
      <selection activeCell="A27" sqref="A27:XFD27"/>
    </sheetView>
  </sheetViews>
  <sheetFormatPr defaultRowHeight="14.25"/>
  <cols>
    <col min="1" max="1" width="13" customWidth="1"/>
    <col min="2" max="2" width="8" customWidth="1"/>
    <col min="3" max="3" width="9" customWidth="1"/>
    <col min="4" max="4" width="16" customWidth="1"/>
    <col min="5" max="5" width="18" customWidth="1"/>
    <col min="6" max="6" width="58" customWidth="1"/>
    <col min="7" max="8" width="13" customWidth="1"/>
    <col min="9" max="10" width="11" customWidth="1"/>
    <col min="11" max="12" width="24" customWidth="1"/>
  </cols>
  <sheetData>
    <row r="1" spans="1:12" ht="33.950000000000003" customHeight="1">
      <c r="A1" s="35" t="s">
        <v>28</v>
      </c>
      <c r="B1" s="35" t="s">
        <v>28</v>
      </c>
      <c r="C1" s="35" t="s">
        <v>28</v>
      </c>
      <c r="D1" s="35" t="s">
        <v>28</v>
      </c>
      <c r="E1" s="35" t="s">
        <v>28</v>
      </c>
      <c r="F1" s="35" t="s">
        <v>28</v>
      </c>
      <c r="G1" s="35" t="s">
        <v>28</v>
      </c>
      <c r="H1" s="35" t="s">
        <v>28</v>
      </c>
      <c r="I1" s="35" t="s">
        <v>28</v>
      </c>
      <c r="J1" s="35" t="s">
        <v>28</v>
      </c>
      <c r="K1" s="35" t="s">
        <v>28</v>
      </c>
      <c r="L1" s="35" t="s">
        <v>28</v>
      </c>
    </row>
    <row r="2" spans="1:12" ht="30" customHeight="1">
      <c r="A2" s="36" t="s">
        <v>29</v>
      </c>
      <c r="B2" s="36" t="s">
        <v>29</v>
      </c>
      <c r="C2" s="36" t="s">
        <v>29</v>
      </c>
      <c r="D2" s="36" t="s">
        <v>29</v>
      </c>
      <c r="E2" s="36" t="s">
        <v>29</v>
      </c>
      <c r="F2" s="36" t="s">
        <v>29</v>
      </c>
      <c r="G2" s="36" t="s">
        <v>29</v>
      </c>
      <c r="H2" s="36" t="s">
        <v>29</v>
      </c>
      <c r="I2" s="36" t="s">
        <v>29</v>
      </c>
      <c r="J2" s="36" t="s">
        <v>29</v>
      </c>
      <c r="K2" s="36" t="s">
        <v>29</v>
      </c>
      <c r="L2" s="36" t="s">
        <v>29</v>
      </c>
    </row>
    <row r="4" spans="1:12" ht="15">
      <c r="A4" s="1" t="s">
        <v>30</v>
      </c>
      <c r="B4" s="1" t="s">
        <v>31</v>
      </c>
      <c r="C4" s="1" t="s">
        <v>11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15</v>
      </c>
      <c r="J4" s="1" t="s">
        <v>37</v>
      </c>
      <c r="K4" s="1" t="s">
        <v>38</v>
      </c>
      <c r="L4" s="1" t="s">
        <v>39</v>
      </c>
    </row>
    <row r="5" spans="1:12" ht="42.95" customHeight="1">
      <c r="A5" s="2">
        <v>46260</v>
      </c>
      <c r="B5" s="3" t="s">
        <v>40</v>
      </c>
      <c r="C5" s="3" t="s">
        <v>16</v>
      </c>
      <c r="D5" s="3" t="s">
        <v>41</v>
      </c>
      <c r="E5" s="3" t="s">
        <v>42</v>
      </c>
      <c r="F5" s="3" t="s">
        <v>43</v>
      </c>
      <c r="G5" s="4">
        <v>2</v>
      </c>
      <c r="H5" s="5">
        <v>2</v>
      </c>
      <c r="I5" s="6" t="s">
        <v>334</v>
      </c>
      <c r="J5" s="7">
        <f t="shared" ref="J5:J36" si="0">IF(I5="已完成",1,IF(I5="进行中",0.5,0))</f>
        <v>1</v>
      </c>
      <c r="K5" s="3" t="s">
        <v>45</v>
      </c>
      <c r="L5" s="6"/>
    </row>
    <row r="6" spans="1:12" ht="42.95" customHeight="1">
      <c r="A6" s="8">
        <v>46261</v>
      </c>
      <c r="B6" s="9" t="s">
        <v>46</v>
      </c>
      <c r="C6" s="9" t="s">
        <v>16</v>
      </c>
      <c r="D6" s="9" t="s">
        <v>41</v>
      </c>
      <c r="E6" s="9" t="s">
        <v>47</v>
      </c>
      <c r="F6" s="9" t="s">
        <v>48</v>
      </c>
      <c r="G6" s="10">
        <v>2</v>
      </c>
      <c r="H6" s="11">
        <v>2</v>
      </c>
      <c r="I6" s="12" t="s">
        <v>334</v>
      </c>
      <c r="J6" s="13">
        <f t="shared" si="0"/>
        <v>1</v>
      </c>
      <c r="K6" s="9" t="s">
        <v>49</v>
      </c>
      <c r="L6" s="12"/>
    </row>
    <row r="7" spans="1:12" ht="42.95" customHeight="1">
      <c r="A7" s="8">
        <v>46262</v>
      </c>
      <c r="B7" s="9" t="s">
        <v>50</v>
      </c>
      <c r="C7" s="9" t="s">
        <v>16</v>
      </c>
      <c r="D7" s="9" t="s">
        <v>41</v>
      </c>
      <c r="E7" s="9" t="s">
        <v>51</v>
      </c>
      <c r="F7" s="9" t="s">
        <v>52</v>
      </c>
      <c r="G7" s="10">
        <v>2</v>
      </c>
      <c r="H7" s="11">
        <v>2</v>
      </c>
      <c r="I7" s="12" t="s">
        <v>334</v>
      </c>
      <c r="J7" s="13">
        <f t="shared" si="0"/>
        <v>1</v>
      </c>
      <c r="K7" s="9" t="s">
        <v>53</v>
      </c>
      <c r="L7" s="12"/>
    </row>
    <row r="8" spans="1:12" ht="42.95" customHeight="1">
      <c r="A8" s="8">
        <v>46263</v>
      </c>
      <c r="B8" s="9" t="s">
        <v>54</v>
      </c>
      <c r="C8" s="9" t="s">
        <v>16</v>
      </c>
      <c r="D8" s="9" t="s">
        <v>41</v>
      </c>
      <c r="E8" s="9" t="s">
        <v>55</v>
      </c>
      <c r="F8" s="9" t="s">
        <v>56</v>
      </c>
      <c r="G8" s="10">
        <v>4</v>
      </c>
      <c r="H8" s="11">
        <v>4</v>
      </c>
      <c r="I8" s="12" t="s">
        <v>334</v>
      </c>
      <c r="J8" s="13">
        <f t="shared" si="0"/>
        <v>1</v>
      </c>
      <c r="K8" s="9" t="s">
        <v>57</v>
      </c>
      <c r="L8" s="12"/>
    </row>
    <row r="9" spans="1:12" ht="42.95" customHeight="1">
      <c r="A9" s="8">
        <v>46264</v>
      </c>
      <c r="B9" s="9" t="s">
        <v>58</v>
      </c>
      <c r="C9" s="9" t="s">
        <v>16</v>
      </c>
      <c r="D9" s="9" t="s">
        <v>41</v>
      </c>
      <c r="E9" s="9" t="s">
        <v>59</v>
      </c>
      <c r="F9" s="9" t="s">
        <v>60</v>
      </c>
      <c r="G9" s="10">
        <v>4</v>
      </c>
      <c r="H9" s="11">
        <v>4</v>
      </c>
      <c r="I9" s="12" t="s">
        <v>334</v>
      </c>
      <c r="J9" s="13">
        <f t="shared" si="0"/>
        <v>1</v>
      </c>
      <c r="K9" s="9" t="s">
        <v>61</v>
      </c>
      <c r="L9" s="12"/>
    </row>
    <row r="10" spans="1:12" ht="42.95" customHeight="1">
      <c r="A10" s="8">
        <v>46265</v>
      </c>
      <c r="B10" s="9" t="s">
        <v>62</v>
      </c>
      <c r="C10" s="9" t="s">
        <v>16</v>
      </c>
      <c r="D10" s="9" t="s">
        <v>41</v>
      </c>
      <c r="E10" s="9" t="s">
        <v>63</v>
      </c>
      <c r="F10" s="9" t="s">
        <v>64</v>
      </c>
      <c r="G10" s="10">
        <v>2</v>
      </c>
      <c r="H10" s="11">
        <v>2</v>
      </c>
      <c r="I10" s="12" t="s">
        <v>334</v>
      </c>
      <c r="J10" s="13">
        <f t="shared" si="0"/>
        <v>1</v>
      </c>
      <c r="K10" s="9" t="s">
        <v>65</v>
      </c>
      <c r="L10" s="12"/>
    </row>
    <row r="11" spans="1:12" ht="42.95" customHeight="1">
      <c r="A11" s="8">
        <v>46266</v>
      </c>
      <c r="B11" s="9" t="s">
        <v>66</v>
      </c>
      <c r="C11" s="9" t="s">
        <v>16</v>
      </c>
      <c r="D11" s="9" t="s">
        <v>41</v>
      </c>
      <c r="E11" s="9" t="s">
        <v>67</v>
      </c>
      <c r="F11" s="9" t="s">
        <v>68</v>
      </c>
      <c r="G11" s="10">
        <v>2</v>
      </c>
      <c r="H11" s="11">
        <v>2</v>
      </c>
      <c r="I11" s="12" t="s">
        <v>334</v>
      </c>
      <c r="J11" s="13">
        <f t="shared" si="0"/>
        <v>1</v>
      </c>
      <c r="K11" s="9" t="s">
        <v>69</v>
      </c>
      <c r="L11" s="12"/>
    </row>
    <row r="12" spans="1:12" ht="42.95" customHeight="1">
      <c r="A12" s="8">
        <v>46267</v>
      </c>
      <c r="B12" s="9" t="s">
        <v>40</v>
      </c>
      <c r="C12" s="9" t="s">
        <v>17</v>
      </c>
      <c r="D12" s="9" t="s">
        <v>70</v>
      </c>
      <c r="E12" s="9" t="s">
        <v>71</v>
      </c>
      <c r="F12" s="9" t="s">
        <v>72</v>
      </c>
      <c r="G12" s="10">
        <v>2</v>
      </c>
      <c r="H12" s="11">
        <v>2</v>
      </c>
      <c r="I12" s="12" t="s">
        <v>334</v>
      </c>
      <c r="J12" s="13">
        <f t="shared" si="0"/>
        <v>1</v>
      </c>
      <c r="K12" s="9" t="s">
        <v>73</v>
      </c>
      <c r="L12" s="12"/>
    </row>
    <row r="13" spans="1:12" ht="42.95" customHeight="1">
      <c r="A13" s="8">
        <v>46268</v>
      </c>
      <c r="B13" s="9" t="s">
        <v>46</v>
      </c>
      <c r="C13" s="9" t="s">
        <v>17</v>
      </c>
      <c r="D13" s="9" t="s">
        <v>70</v>
      </c>
      <c r="E13" s="9" t="s">
        <v>74</v>
      </c>
      <c r="F13" s="9" t="s">
        <v>75</v>
      </c>
      <c r="G13" s="10">
        <v>2</v>
      </c>
      <c r="H13" s="11">
        <v>2</v>
      </c>
      <c r="I13" s="12" t="s">
        <v>334</v>
      </c>
      <c r="J13" s="13">
        <f t="shared" si="0"/>
        <v>1</v>
      </c>
      <c r="K13" s="9" t="s">
        <v>76</v>
      </c>
      <c r="L13" s="12"/>
    </row>
    <row r="14" spans="1:12" ht="42.95" customHeight="1">
      <c r="A14" s="8">
        <v>46269</v>
      </c>
      <c r="B14" s="9" t="s">
        <v>50</v>
      </c>
      <c r="C14" s="9" t="s">
        <v>17</v>
      </c>
      <c r="D14" s="9" t="s">
        <v>70</v>
      </c>
      <c r="E14" s="9" t="s">
        <v>77</v>
      </c>
      <c r="F14" s="9" t="s">
        <v>78</v>
      </c>
      <c r="G14" s="10">
        <v>2</v>
      </c>
      <c r="H14" s="11">
        <v>2</v>
      </c>
      <c r="I14" s="12" t="s">
        <v>334</v>
      </c>
      <c r="J14" s="13">
        <f t="shared" si="0"/>
        <v>1</v>
      </c>
      <c r="K14" s="9" t="s">
        <v>79</v>
      </c>
      <c r="L14" s="12"/>
    </row>
    <row r="15" spans="1:12" ht="42.95" customHeight="1">
      <c r="A15" s="8">
        <v>46270</v>
      </c>
      <c r="B15" s="9" t="s">
        <v>54</v>
      </c>
      <c r="C15" s="9" t="s">
        <v>17</v>
      </c>
      <c r="D15" s="9" t="s">
        <v>70</v>
      </c>
      <c r="E15" s="9" t="s">
        <v>80</v>
      </c>
      <c r="F15" s="9" t="s">
        <v>81</v>
      </c>
      <c r="G15" s="10">
        <v>4</v>
      </c>
      <c r="H15" s="11">
        <v>4</v>
      </c>
      <c r="I15" s="12" t="s">
        <v>334</v>
      </c>
      <c r="J15" s="13">
        <f t="shared" si="0"/>
        <v>1</v>
      </c>
      <c r="K15" s="9" t="s">
        <v>82</v>
      </c>
      <c r="L15" s="12"/>
    </row>
    <row r="16" spans="1:12" ht="42.95" customHeight="1">
      <c r="A16" s="8">
        <v>46271</v>
      </c>
      <c r="B16" s="9" t="s">
        <v>58</v>
      </c>
      <c r="C16" s="9" t="s">
        <v>17</v>
      </c>
      <c r="D16" s="9" t="s">
        <v>70</v>
      </c>
      <c r="E16" s="9" t="s">
        <v>83</v>
      </c>
      <c r="F16" s="9" t="s">
        <v>84</v>
      </c>
      <c r="G16" s="10">
        <v>4</v>
      </c>
      <c r="H16" s="11">
        <v>4</v>
      </c>
      <c r="I16" s="12" t="s">
        <v>334</v>
      </c>
      <c r="J16" s="13">
        <f t="shared" si="0"/>
        <v>1</v>
      </c>
      <c r="K16" s="9" t="s">
        <v>85</v>
      </c>
      <c r="L16" s="12"/>
    </row>
    <row r="17" spans="1:12" ht="42.95" customHeight="1">
      <c r="A17" s="8">
        <v>46272</v>
      </c>
      <c r="B17" s="9" t="s">
        <v>62</v>
      </c>
      <c r="C17" s="9" t="s">
        <v>17</v>
      </c>
      <c r="D17" s="9" t="s">
        <v>70</v>
      </c>
      <c r="E17" s="9" t="s">
        <v>86</v>
      </c>
      <c r="F17" s="9" t="s">
        <v>87</v>
      </c>
      <c r="G17" s="10">
        <v>2</v>
      </c>
      <c r="H17" s="11">
        <v>2</v>
      </c>
      <c r="I17" s="12" t="s">
        <v>334</v>
      </c>
      <c r="J17" s="13">
        <f t="shared" si="0"/>
        <v>1</v>
      </c>
      <c r="K17" s="9" t="s">
        <v>88</v>
      </c>
      <c r="L17" s="12"/>
    </row>
    <row r="18" spans="1:12" ht="42.95" customHeight="1">
      <c r="A18" s="8">
        <v>46273</v>
      </c>
      <c r="B18" s="9" t="s">
        <v>66</v>
      </c>
      <c r="C18" s="9" t="s">
        <v>17</v>
      </c>
      <c r="D18" s="9" t="s">
        <v>70</v>
      </c>
      <c r="E18" s="9" t="s">
        <v>89</v>
      </c>
      <c r="F18" s="9" t="s">
        <v>90</v>
      </c>
      <c r="G18" s="10">
        <v>2</v>
      </c>
      <c r="H18" s="11">
        <v>2</v>
      </c>
      <c r="I18" s="12" t="s">
        <v>334</v>
      </c>
      <c r="J18" s="13">
        <f t="shared" si="0"/>
        <v>1</v>
      </c>
      <c r="K18" s="9" t="s">
        <v>91</v>
      </c>
      <c r="L18" s="12"/>
    </row>
    <row r="19" spans="1:12" ht="42.95" customHeight="1">
      <c r="A19" s="8">
        <v>46274</v>
      </c>
      <c r="B19" s="9" t="s">
        <v>40</v>
      </c>
      <c r="C19" s="9" t="s">
        <v>18</v>
      </c>
      <c r="D19" s="9" t="s">
        <v>92</v>
      </c>
      <c r="E19" s="9" t="s">
        <v>93</v>
      </c>
      <c r="F19" s="9" t="s">
        <v>94</v>
      </c>
      <c r="G19" s="10">
        <v>2</v>
      </c>
      <c r="H19" s="11">
        <v>2</v>
      </c>
      <c r="I19" s="12" t="s">
        <v>334</v>
      </c>
      <c r="J19" s="13">
        <f t="shared" si="0"/>
        <v>1</v>
      </c>
      <c r="K19" s="9" t="s">
        <v>95</v>
      </c>
      <c r="L19" s="12"/>
    </row>
    <row r="20" spans="1:12" ht="42.95" customHeight="1">
      <c r="A20" s="8">
        <v>46275</v>
      </c>
      <c r="B20" s="9" t="s">
        <v>46</v>
      </c>
      <c r="C20" s="9" t="s">
        <v>18</v>
      </c>
      <c r="D20" s="9" t="s">
        <v>92</v>
      </c>
      <c r="E20" s="9" t="s">
        <v>96</v>
      </c>
      <c r="F20" s="9" t="s">
        <v>97</v>
      </c>
      <c r="G20" s="10">
        <v>2</v>
      </c>
      <c r="H20" s="11">
        <v>2</v>
      </c>
      <c r="I20" s="12" t="s">
        <v>334</v>
      </c>
      <c r="J20" s="13">
        <f t="shared" si="0"/>
        <v>1</v>
      </c>
      <c r="K20" s="9" t="s">
        <v>98</v>
      </c>
      <c r="L20" s="12"/>
    </row>
    <row r="21" spans="1:12" ht="42.95" customHeight="1">
      <c r="A21" s="8">
        <v>46276</v>
      </c>
      <c r="B21" s="9" t="s">
        <v>50</v>
      </c>
      <c r="C21" s="9" t="s">
        <v>18</v>
      </c>
      <c r="D21" s="9" t="s">
        <v>92</v>
      </c>
      <c r="E21" s="9" t="s">
        <v>99</v>
      </c>
      <c r="F21" s="9" t="s">
        <v>100</v>
      </c>
      <c r="G21" s="10">
        <v>2</v>
      </c>
      <c r="H21" s="11">
        <v>2</v>
      </c>
      <c r="I21" s="12" t="s">
        <v>334</v>
      </c>
      <c r="J21" s="13">
        <f t="shared" si="0"/>
        <v>1</v>
      </c>
      <c r="K21" s="9" t="s">
        <v>101</v>
      </c>
      <c r="L21" s="12"/>
    </row>
    <row r="22" spans="1:12" ht="42.95" customHeight="1">
      <c r="A22" s="8">
        <v>46277</v>
      </c>
      <c r="B22" s="9" t="s">
        <v>54</v>
      </c>
      <c r="C22" s="9" t="s">
        <v>18</v>
      </c>
      <c r="D22" s="9" t="s">
        <v>92</v>
      </c>
      <c r="E22" s="9" t="s">
        <v>102</v>
      </c>
      <c r="F22" s="9" t="s">
        <v>103</v>
      </c>
      <c r="G22" s="10">
        <v>4</v>
      </c>
      <c r="H22" s="11">
        <v>4</v>
      </c>
      <c r="I22" s="12" t="s">
        <v>334</v>
      </c>
      <c r="J22" s="13">
        <f t="shared" si="0"/>
        <v>1</v>
      </c>
      <c r="K22" s="9" t="s">
        <v>104</v>
      </c>
      <c r="L22" s="12"/>
    </row>
    <row r="23" spans="1:12" ht="42.95" customHeight="1">
      <c r="A23" s="8">
        <v>46278</v>
      </c>
      <c r="B23" s="9" t="s">
        <v>58</v>
      </c>
      <c r="C23" s="9" t="s">
        <v>18</v>
      </c>
      <c r="D23" s="9" t="s">
        <v>92</v>
      </c>
      <c r="E23" s="9" t="s">
        <v>105</v>
      </c>
      <c r="F23" s="9" t="s">
        <v>106</v>
      </c>
      <c r="G23" s="10">
        <v>4</v>
      </c>
      <c r="H23" s="11">
        <v>4</v>
      </c>
      <c r="I23" s="12" t="s">
        <v>334</v>
      </c>
      <c r="J23" s="13">
        <f t="shared" si="0"/>
        <v>1</v>
      </c>
      <c r="K23" s="9" t="s">
        <v>107</v>
      </c>
      <c r="L23" s="12"/>
    </row>
    <row r="24" spans="1:12" ht="42.95" customHeight="1">
      <c r="A24" s="8">
        <v>46279</v>
      </c>
      <c r="B24" s="9" t="s">
        <v>62</v>
      </c>
      <c r="C24" s="9" t="s">
        <v>18</v>
      </c>
      <c r="D24" s="9" t="s">
        <v>92</v>
      </c>
      <c r="E24" s="9" t="s">
        <v>108</v>
      </c>
      <c r="F24" s="9" t="s">
        <v>109</v>
      </c>
      <c r="G24" s="10">
        <v>2</v>
      </c>
      <c r="H24" s="11">
        <v>2</v>
      </c>
      <c r="I24" s="12" t="s">
        <v>334</v>
      </c>
      <c r="J24" s="13">
        <f t="shared" si="0"/>
        <v>1</v>
      </c>
      <c r="K24" s="9" t="s">
        <v>110</v>
      </c>
      <c r="L24" s="12"/>
    </row>
    <row r="25" spans="1:12" ht="42.95" customHeight="1">
      <c r="A25" s="8">
        <v>46280</v>
      </c>
      <c r="B25" s="9" t="s">
        <v>66</v>
      </c>
      <c r="C25" s="9" t="s">
        <v>18</v>
      </c>
      <c r="D25" s="9" t="s">
        <v>92</v>
      </c>
      <c r="E25" s="9" t="s">
        <v>89</v>
      </c>
      <c r="F25" s="9" t="s">
        <v>111</v>
      </c>
      <c r="G25" s="10">
        <v>2</v>
      </c>
      <c r="H25" s="11">
        <v>2</v>
      </c>
      <c r="I25" s="12" t="s">
        <v>334</v>
      </c>
      <c r="J25" s="13">
        <f t="shared" si="0"/>
        <v>1</v>
      </c>
      <c r="K25" s="9" t="s">
        <v>91</v>
      </c>
      <c r="L25" s="12"/>
    </row>
    <row r="26" spans="1:12" ht="42.95" customHeight="1">
      <c r="A26" s="8">
        <v>46281</v>
      </c>
      <c r="B26" s="9" t="s">
        <v>40</v>
      </c>
      <c r="C26" s="9" t="s">
        <v>19</v>
      </c>
      <c r="D26" s="9" t="s">
        <v>112</v>
      </c>
      <c r="E26" s="9" t="s">
        <v>113</v>
      </c>
      <c r="F26" s="9" t="s">
        <v>114</v>
      </c>
      <c r="G26" s="10">
        <v>2</v>
      </c>
      <c r="H26" s="11">
        <v>2</v>
      </c>
      <c r="I26" s="12" t="s">
        <v>334</v>
      </c>
      <c r="J26" s="13">
        <f t="shared" si="0"/>
        <v>1</v>
      </c>
      <c r="K26" s="9" t="s">
        <v>115</v>
      </c>
      <c r="L26" s="12"/>
    </row>
    <row r="27" spans="1:12" ht="42.95" customHeight="1">
      <c r="A27" s="8">
        <v>46282</v>
      </c>
      <c r="B27" s="9" t="s">
        <v>46</v>
      </c>
      <c r="C27" s="9" t="s">
        <v>19</v>
      </c>
      <c r="D27" s="9" t="s">
        <v>112</v>
      </c>
      <c r="E27" s="9" t="s">
        <v>116</v>
      </c>
      <c r="F27" s="9" t="s">
        <v>117</v>
      </c>
      <c r="G27" s="10">
        <v>2</v>
      </c>
      <c r="H27" s="11"/>
      <c r="I27" s="12" t="s">
        <v>44</v>
      </c>
      <c r="J27" s="13">
        <f t="shared" si="0"/>
        <v>0</v>
      </c>
      <c r="K27" s="9" t="s">
        <v>118</v>
      </c>
      <c r="L27" s="12"/>
    </row>
    <row r="28" spans="1:12" ht="42.95" customHeight="1">
      <c r="A28" s="8">
        <v>46283</v>
      </c>
      <c r="B28" s="9" t="s">
        <v>50</v>
      </c>
      <c r="C28" s="9" t="s">
        <v>19</v>
      </c>
      <c r="D28" s="9" t="s">
        <v>112</v>
      </c>
      <c r="E28" s="9" t="s">
        <v>119</v>
      </c>
      <c r="F28" s="9" t="s">
        <v>120</v>
      </c>
      <c r="G28" s="10">
        <v>2</v>
      </c>
      <c r="H28" s="11"/>
      <c r="I28" s="12" t="s">
        <v>44</v>
      </c>
      <c r="J28" s="13">
        <f t="shared" si="0"/>
        <v>0</v>
      </c>
      <c r="K28" s="9" t="s">
        <v>121</v>
      </c>
      <c r="L28" s="12"/>
    </row>
    <row r="29" spans="1:12" ht="42.95" customHeight="1">
      <c r="A29" s="8">
        <v>46284</v>
      </c>
      <c r="B29" s="9" t="s">
        <v>54</v>
      </c>
      <c r="C29" s="9" t="s">
        <v>19</v>
      </c>
      <c r="D29" s="9" t="s">
        <v>112</v>
      </c>
      <c r="E29" s="9" t="s">
        <v>122</v>
      </c>
      <c r="F29" s="9" t="s">
        <v>123</v>
      </c>
      <c r="G29" s="10">
        <v>4</v>
      </c>
      <c r="H29" s="11"/>
      <c r="I29" s="12" t="s">
        <v>44</v>
      </c>
      <c r="J29" s="13">
        <f t="shared" si="0"/>
        <v>0</v>
      </c>
      <c r="K29" s="9" t="s">
        <v>124</v>
      </c>
      <c r="L29" s="12"/>
    </row>
    <row r="30" spans="1:12" ht="42.95" customHeight="1">
      <c r="A30" s="8">
        <v>46285</v>
      </c>
      <c r="B30" s="9" t="s">
        <v>58</v>
      </c>
      <c r="C30" s="9" t="s">
        <v>19</v>
      </c>
      <c r="D30" s="9" t="s">
        <v>112</v>
      </c>
      <c r="E30" s="9" t="s">
        <v>125</v>
      </c>
      <c r="F30" s="9" t="s">
        <v>126</v>
      </c>
      <c r="G30" s="10">
        <v>4</v>
      </c>
      <c r="H30" s="11"/>
      <c r="I30" s="12" t="s">
        <v>44</v>
      </c>
      <c r="J30" s="13">
        <f t="shared" si="0"/>
        <v>0</v>
      </c>
      <c r="K30" s="9" t="s">
        <v>127</v>
      </c>
      <c r="L30" s="12"/>
    </row>
    <row r="31" spans="1:12" ht="42.95" customHeight="1">
      <c r="A31" s="8">
        <v>46286</v>
      </c>
      <c r="B31" s="9" t="s">
        <v>62</v>
      </c>
      <c r="C31" s="9" t="s">
        <v>19</v>
      </c>
      <c r="D31" s="9" t="s">
        <v>112</v>
      </c>
      <c r="E31" s="9" t="s">
        <v>128</v>
      </c>
      <c r="F31" s="9" t="s">
        <v>129</v>
      </c>
      <c r="G31" s="10">
        <v>2</v>
      </c>
      <c r="H31" s="11"/>
      <c r="I31" s="12" t="s">
        <v>44</v>
      </c>
      <c r="J31" s="13">
        <f t="shared" si="0"/>
        <v>0</v>
      </c>
      <c r="K31" s="9" t="s">
        <v>130</v>
      </c>
      <c r="L31" s="12"/>
    </row>
    <row r="32" spans="1:12" ht="42.95" customHeight="1">
      <c r="A32" s="8">
        <v>46287</v>
      </c>
      <c r="B32" s="9" t="s">
        <v>66</v>
      </c>
      <c r="C32" s="9" t="s">
        <v>19</v>
      </c>
      <c r="D32" s="9" t="s">
        <v>112</v>
      </c>
      <c r="E32" s="9" t="s">
        <v>131</v>
      </c>
      <c r="F32" s="9" t="s">
        <v>132</v>
      </c>
      <c r="G32" s="10">
        <v>2</v>
      </c>
      <c r="H32" s="11"/>
      <c r="I32" s="12" t="s">
        <v>44</v>
      </c>
      <c r="J32" s="13">
        <f t="shared" si="0"/>
        <v>0</v>
      </c>
      <c r="K32" s="9" t="s">
        <v>133</v>
      </c>
      <c r="L32" s="12"/>
    </row>
    <row r="33" spans="1:12" ht="42.95" customHeight="1">
      <c r="A33" s="8">
        <v>46288</v>
      </c>
      <c r="B33" s="9" t="s">
        <v>40</v>
      </c>
      <c r="C33" s="9" t="s">
        <v>20</v>
      </c>
      <c r="D33" s="9" t="s">
        <v>134</v>
      </c>
      <c r="E33" s="9" t="s">
        <v>135</v>
      </c>
      <c r="F33" s="9" t="s">
        <v>136</v>
      </c>
      <c r="G33" s="10">
        <v>2</v>
      </c>
      <c r="H33" s="11"/>
      <c r="I33" s="12" t="s">
        <v>44</v>
      </c>
      <c r="J33" s="13">
        <f t="shared" si="0"/>
        <v>0</v>
      </c>
      <c r="K33" s="9" t="s">
        <v>137</v>
      </c>
      <c r="L33" s="12"/>
    </row>
    <row r="34" spans="1:12" ht="42.95" customHeight="1">
      <c r="A34" s="8">
        <v>46289</v>
      </c>
      <c r="B34" s="9" t="s">
        <v>46</v>
      </c>
      <c r="C34" s="9" t="s">
        <v>20</v>
      </c>
      <c r="D34" s="9" t="s">
        <v>134</v>
      </c>
      <c r="E34" s="9" t="s">
        <v>138</v>
      </c>
      <c r="F34" s="9" t="s">
        <v>139</v>
      </c>
      <c r="G34" s="10">
        <v>2</v>
      </c>
      <c r="H34" s="11"/>
      <c r="I34" s="12" t="s">
        <v>44</v>
      </c>
      <c r="J34" s="13">
        <f t="shared" si="0"/>
        <v>0</v>
      </c>
      <c r="K34" s="9" t="s">
        <v>140</v>
      </c>
      <c r="L34" s="12"/>
    </row>
    <row r="35" spans="1:12" ht="42.95" customHeight="1">
      <c r="A35" s="8">
        <v>46290</v>
      </c>
      <c r="B35" s="9" t="s">
        <v>50</v>
      </c>
      <c r="C35" s="9" t="s">
        <v>20</v>
      </c>
      <c r="D35" s="9" t="s">
        <v>134</v>
      </c>
      <c r="E35" s="9" t="s">
        <v>141</v>
      </c>
      <c r="F35" s="9" t="s">
        <v>142</v>
      </c>
      <c r="G35" s="10">
        <v>2</v>
      </c>
      <c r="H35" s="11"/>
      <c r="I35" s="12" t="s">
        <v>44</v>
      </c>
      <c r="J35" s="13">
        <f t="shared" si="0"/>
        <v>0</v>
      </c>
      <c r="K35" s="9" t="s">
        <v>143</v>
      </c>
      <c r="L35" s="12"/>
    </row>
    <row r="36" spans="1:12" ht="42.95" customHeight="1">
      <c r="A36" s="8">
        <v>46291</v>
      </c>
      <c r="B36" s="9" t="s">
        <v>54</v>
      </c>
      <c r="C36" s="9" t="s">
        <v>20</v>
      </c>
      <c r="D36" s="9" t="s">
        <v>134</v>
      </c>
      <c r="E36" s="9" t="s">
        <v>144</v>
      </c>
      <c r="F36" s="9" t="s">
        <v>145</v>
      </c>
      <c r="G36" s="10">
        <v>4</v>
      </c>
      <c r="H36" s="11"/>
      <c r="I36" s="12" t="s">
        <v>44</v>
      </c>
      <c r="J36" s="13">
        <f t="shared" si="0"/>
        <v>0</v>
      </c>
      <c r="K36" s="9" t="s">
        <v>146</v>
      </c>
      <c r="L36" s="12"/>
    </row>
    <row r="37" spans="1:12" ht="42.95" customHeight="1">
      <c r="A37" s="8">
        <v>46292</v>
      </c>
      <c r="B37" s="9" t="s">
        <v>58</v>
      </c>
      <c r="C37" s="9" t="s">
        <v>20</v>
      </c>
      <c r="D37" s="9" t="s">
        <v>134</v>
      </c>
      <c r="E37" s="9" t="s">
        <v>147</v>
      </c>
      <c r="F37" s="9" t="s">
        <v>148</v>
      </c>
      <c r="G37" s="10">
        <v>4</v>
      </c>
      <c r="H37" s="11"/>
      <c r="I37" s="12" t="s">
        <v>44</v>
      </c>
      <c r="J37" s="13">
        <f t="shared" ref="J37:J68" si="1">IF(I37="已完成",1,IF(I37="进行中",0.5,0))</f>
        <v>0</v>
      </c>
      <c r="K37" s="9" t="s">
        <v>149</v>
      </c>
      <c r="L37" s="12"/>
    </row>
    <row r="38" spans="1:12" ht="42.95" customHeight="1">
      <c r="A38" s="8">
        <v>46293</v>
      </c>
      <c r="B38" s="9" t="s">
        <v>62</v>
      </c>
      <c r="C38" s="9" t="s">
        <v>20</v>
      </c>
      <c r="D38" s="9" t="s">
        <v>134</v>
      </c>
      <c r="E38" s="9" t="s">
        <v>150</v>
      </c>
      <c r="F38" s="9" t="s">
        <v>151</v>
      </c>
      <c r="G38" s="10">
        <v>2</v>
      </c>
      <c r="H38" s="11"/>
      <c r="I38" s="12" t="s">
        <v>44</v>
      </c>
      <c r="J38" s="13">
        <f t="shared" si="1"/>
        <v>0</v>
      </c>
      <c r="K38" s="9" t="s">
        <v>152</v>
      </c>
      <c r="L38" s="12"/>
    </row>
    <row r="39" spans="1:12" ht="42.95" customHeight="1">
      <c r="A39" s="8">
        <v>46294</v>
      </c>
      <c r="B39" s="9" t="s">
        <v>66</v>
      </c>
      <c r="C39" s="9" t="s">
        <v>20</v>
      </c>
      <c r="D39" s="9" t="s">
        <v>134</v>
      </c>
      <c r="E39" s="9" t="s">
        <v>89</v>
      </c>
      <c r="F39" s="9" t="s">
        <v>153</v>
      </c>
      <c r="G39" s="10">
        <v>2</v>
      </c>
      <c r="H39" s="11"/>
      <c r="I39" s="12" t="s">
        <v>44</v>
      </c>
      <c r="J39" s="13">
        <f t="shared" si="1"/>
        <v>0</v>
      </c>
      <c r="K39" s="9" t="s">
        <v>154</v>
      </c>
      <c r="L39" s="12"/>
    </row>
    <row r="40" spans="1:12" ht="42.95" customHeight="1">
      <c r="A40" s="8">
        <v>46295</v>
      </c>
      <c r="B40" s="9" t="s">
        <v>40</v>
      </c>
      <c r="C40" s="9" t="s">
        <v>21</v>
      </c>
      <c r="D40" s="9" t="s">
        <v>155</v>
      </c>
      <c r="E40" s="9" t="s">
        <v>156</v>
      </c>
      <c r="F40" s="9" t="s">
        <v>157</v>
      </c>
      <c r="G40" s="10">
        <v>2</v>
      </c>
      <c r="H40" s="11"/>
      <c r="I40" s="12" t="s">
        <v>44</v>
      </c>
      <c r="J40" s="13">
        <f t="shared" si="1"/>
        <v>0</v>
      </c>
      <c r="K40" s="9" t="s">
        <v>158</v>
      </c>
      <c r="L40" s="12"/>
    </row>
    <row r="41" spans="1:12" ht="42.95" customHeight="1">
      <c r="A41" s="8">
        <v>46296</v>
      </c>
      <c r="B41" s="9" t="s">
        <v>46</v>
      </c>
      <c r="C41" s="9" t="s">
        <v>21</v>
      </c>
      <c r="D41" s="9" t="s">
        <v>155</v>
      </c>
      <c r="E41" s="9" t="s">
        <v>159</v>
      </c>
      <c r="F41" s="9" t="s">
        <v>160</v>
      </c>
      <c r="G41" s="10">
        <v>2</v>
      </c>
      <c r="H41" s="11"/>
      <c r="I41" s="12" t="s">
        <v>44</v>
      </c>
      <c r="J41" s="13">
        <f t="shared" si="1"/>
        <v>0</v>
      </c>
      <c r="K41" s="9" t="s">
        <v>161</v>
      </c>
      <c r="L41" s="12"/>
    </row>
    <row r="42" spans="1:12" ht="42.95" customHeight="1">
      <c r="A42" s="8">
        <v>46297</v>
      </c>
      <c r="B42" s="9" t="s">
        <v>50</v>
      </c>
      <c r="C42" s="9" t="s">
        <v>21</v>
      </c>
      <c r="D42" s="9" t="s">
        <v>155</v>
      </c>
      <c r="E42" s="9" t="s">
        <v>162</v>
      </c>
      <c r="F42" s="9" t="s">
        <v>163</v>
      </c>
      <c r="G42" s="10">
        <v>2</v>
      </c>
      <c r="H42" s="11"/>
      <c r="I42" s="12" t="s">
        <v>44</v>
      </c>
      <c r="J42" s="13">
        <f t="shared" si="1"/>
        <v>0</v>
      </c>
      <c r="K42" s="9" t="s">
        <v>164</v>
      </c>
      <c r="L42" s="12"/>
    </row>
    <row r="43" spans="1:12" ht="42.95" customHeight="1">
      <c r="A43" s="8">
        <v>46298</v>
      </c>
      <c r="B43" s="9" t="s">
        <v>54</v>
      </c>
      <c r="C43" s="9" t="s">
        <v>21</v>
      </c>
      <c r="D43" s="9" t="s">
        <v>155</v>
      </c>
      <c r="E43" s="9" t="s">
        <v>165</v>
      </c>
      <c r="F43" s="9" t="s">
        <v>166</v>
      </c>
      <c r="G43" s="10">
        <v>4</v>
      </c>
      <c r="H43" s="11"/>
      <c r="I43" s="12" t="s">
        <v>44</v>
      </c>
      <c r="J43" s="13">
        <f t="shared" si="1"/>
        <v>0</v>
      </c>
      <c r="K43" s="9" t="s">
        <v>167</v>
      </c>
      <c r="L43" s="12"/>
    </row>
    <row r="44" spans="1:12" ht="42.95" customHeight="1">
      <c r="A44" s="8">
        <v>46299</v>
      </c>
      <c r="B44" s="9" t="s">
        <v>58</v>
      </c>
      <c r="C44" s="9" t="s">
        <v>21</v>
      </c>
      <c r="D44" s="9" t="s">
        <v>155</v>
      </c>
      <c r="E44" s="9" t="s">
        <v>168</v>
      </c>
      <c r="F44" s="9" t="s">
        <v>169</v>
      </c>
      <c r="G44" s="10">
        <v>4</v>
      </c>
      <c r="H44" s="11"/>
      <c r="I44" s="12" t="s">
        <v>44</v>
      </c>
      <c r="J44" s="13">
        <f t="shared" si="1"/>
        <v>0</v>
      </c>
      <c r="K44" s="9" t="s">
        <v>170</v>
      </c>
      <c r="L44" s="12"/>
    </row>
    <row r="45" spans="1:12" ht="42.95" customHeight="1">
      <c r="A45" s="8">
        <v>46300</v>
      </c>
      <c r="B45" s="9" t="s">
        <v>62</v>
      </c>
      <c r="C45" s="9" t="s">
        <v>21</v>
      </c>
      <c r="D45" s="9" t="s">
        <v>155</v>
      </c>
      <c r="E45" s="9" t="s">
        <v>171</v>
      </c>
      <c r="F45" s="9" t="s">
        <v>172</v>
      </c>
      <c r="G45" s="10">
        <v>2</v>
      </c>
      <c r="H45" s="11"/>
      <c r="I45" s="12" t="s">
        <v>44</v>
      </c>
      <c r="J45" s="13">
        <f t="shared" si="1"/>
        <v>0</v>
      </c>
      <c r="K45" s="9" t="s">
        <v>173</v>
      </c>
      <c r="L45" s="12"/>
    </row>
    <row r="46" spans="1:12" ht="42.95" customHeight="1">
      <c r="A46" s="8">
        <v>46301</v>
      </c>
      <c r="B46" s="9" t="s">
        <v>66</v>
      </c>
      <c r="C46" s="9" t="s">
        <v>21</v>
      </c>
      <c r="D46" s="9" t="s">
        <v>155</v>
      </c>
      <c r="E46" s="9" t="s">
        <v>174</v>
      </c>
      <c r="F46" s="9" t="s">
        <v>175</v>
      </c>
      <c r="G46" s="10">
        <v>2</v>
      </c>
      <c r="H46" s="11"/>
      <c r="I46" s="12" t="s">
        <v>44</v>
      </c>
      <c r="J46" s="13">
        <f t="shared" si="1"/>
        <v>0</v>
      </c>
      <c r="K46" s="9" t="s">
        <v>176</v>
      </c>
      <c r="L46" s="12"/>
    </row>
    <row r="47" spans="1:12" ht="42.95" customHeight="1">
      <c r="A47" s="8">
        <v>46302</v>
      </c>
      <c r="B47" s="9" t="s">
        <v>40</v>
      </c>
      <c r="C47" s="9" t="s">
        <v>22</v>
      </c>
      <c r="D47" s="9" t="s">
        <v>177</v>
      </c>
      <c r="E47" s="9" t="s">
        <v>178</v>
      </c>
      <c r="F47" s="9" t="s">
        <v>179</v>
      </c>
      <c r="G47" s="10">
        <v>2</v>
      </c>
      <c r="H47" s="11"/>
      <c r="I47" s="12" t="s">
        <v>44</v>
      </c>
      <c r="J47" s="13">
        <f t="shared" si="1"/>
        <v>0</v>
      </c>
      <c r="K47" s="9" t="s">
        <v>180</v>
      </c>
      <c r="L47" s="12"/>
    </row>
    <row r="48" spans="1:12" ht="42.95" customHeight="1">
      <c r="A48" s="8">
        <v>46303</v>
      </c>
      <c r="B48" s="9" t="s">
        <v>46</v>
      </c>
      <c r="C48" s="9" t="s">
        <v>22</v>
      </c>
      <c r="D48" s="9" t="s">
        <v>177</v>
      </c>
      <c r="E48" s="9" t="s">
        <v>181</v>
      </c>
      <c r="F48" s="9" t="s">
        <v>182</v>
      </c>
      <c r="G48" s="10">
        <v>2</v>
      </c>
      <c r="H48" s="11"/>
      <c r="I48" s="12" t="s">
        <v>44</v>
      </c>
      <c r="J48" s="13">
        <f t="shared" si="1"/>
        <v>0</v>
      </c>
      <c r="K48" s="9" t="s">
        <v>183</v>
      </c>
      <c r="L48" s="12"/>
    </row>
    <row r="49" spans="1:12" ht="42.95" customHeight="1">
      <c r="A49" s="8">
        <v>46304</v>
      </c>
      <c r="B49" s="9" t="s">
        <v>50</v>
      </c>
      <c r="C49" s="9" t="s">
        <v>22</v>
      </c>
      <c r="D49" s="9" t="s">
        <v>177</v>
      </c>
      <c r="E49" s="9" t="s">
        <v>184</v>
      </c>
      <c r="F49" s="9" t="s">
        <v>185</v>
      </c>
      <c r="G49" s="10">
        <v>2</v>
      </c>
      <c r="H49" s="11"/>
      <c r="I49" s="12" t="s">
        <v>44</v>
      </c>
      <c r="J49" s="13">
        <f t="shared" si="1"/>
        <v>0</v>
      </c>
      <c r="K49" s="9" t="s">
        <v>186</v>
      </c>
      <c r="L49" s="12"/>
    </row>
    <row r="50" spans="1:12" ht="42.95" customHeight="1">
      <c r="A50" s="8">
        <v>46305</v>
      </c>
      <c r="B50" s="9" t="s">
        <v>54</v>
      </c>
      <c r="C50" s="9" t="s">
        <v>22</v>
      </c>
      <c r="D50" s="9" t="s">
        <v>177</v>
      </c>
      <c r="E50" s="9" t="s">
        <v>187</v>
      </c>
      <c r="F50" s="9" t="s">
        <v>188</v>
      </c>
      <c r="G50" s="10">
        <v>4</v>
      </c>
      <c r="H50" s="11"/>
      <c r="I50" s="12" t="s">
        <v>44</v>
      </c>
      <c r="J50" s="13">
        <f t="shared" si="1"/>
        <v>0</v>
      </c>
      <c r="K50" s="9" t="s">
        <v>189</v>
      </c>
      <c r="L50" s="12"/>
    </row>
    <row r="51" spans="1:12" ht="42.95" customHeight="1">
      <c r="A51" s="8">
        <v>46306</v>
      </c>
      <c r="B51" s="9" t="s">
        <v>58</v>
      </c>
      <c r="C51" s="9" t="s">
        <v>22</v>
      </c>
      <c r="D51" s="9" t="s">
        <v>177</v>
      </c>
      <c r="E51" s="9" t="s">
        <v>190</v>
      </c>
      <c r="F51" s="9" t="s">
        <v>191</v>
      </c>
      <c r="G51" s="10">
        <v>2</v>
      </c>
      <c r="H51" s="11"/>
      <c r="I51" s="12" t="s">
        <v>44</v>
      </c>
      <c r="J51" s="13">
        <f t="shared" si="1"/>
        <v>0</v>
      </c>
      <c r="K51" s="9" t="s">
        <v>192</v>
      </c>
      <c r="L51" s="12"/>
    </row>
    <row r="52" spans="1:12" ht="42.95" customHeight="1">
      <c r="A52" s="8">
        <v>46307</v>
      </c>
      <c r="B52" s="9" t="s">
        <v>62</v>
      </c>
      <c r="C52" s="9" t="s">
        <v>22</v>
      </c>
      <c r="D52" s="9" t="s">
        <v>177</v>
      </c>
      <c r="E52" s="9" t="s">
        <v>193</v>
      </c>
      <c r="F52" s="9" t="s">
        <v>194</v>
      </c>
      <c r="G52" s="10">
        <v>4</v>
      </c>
      <c r="H52" s="11"/>
      <c r="I52" s="12" t="s">
        <v>44</v>
      </c>
      <c r="J52" s="13">
        <f t="shared" si="1"/>
        <v>0</v>
      </c>
      <c r="K52" s="9" t="s">
        <v>195</v>
      </c>
      <c r="L52" s="12"/>
    </row>
    <row r="53" spans="1:12" ht="42.95" customHeight="1">
      <c r="A53" s="8">
        <v>46308</v>
      </c>
      <c r="B53" s="9" t="s">
        <v>66</v>
      </c>
      <c r="C53" s="9" t="s">
        <v>22</v>
      </c>
      <c r="D53" s="9" t="s">
        <v>177</v>
      </c>
      <c r="E53" s="9" t="s">
        <v>196</v>
      </c>
      <c r="F53" s="9" t="s">
        <v>197</v>
      </c>
      <c r="G53" s="10">
        <v>2</v>
      </c>
      <c r="H53" s="11"/>
      <c r="I53" s="12" t="s">
        <v>44</v>
      </c>
      <c r="J53" s="13">
        <f t="shared" si="1"/>
        <v>0</v>
      </c>
      <c r="K53" s="9" t="s">
        <v>198</v>
      </c>
      <c r="L53" s="12"/>
    </row>
    <row r="54" spans="1:12" ht="42.95" customHeight="1">
      <c r="A54" s="8">
        <v>46309</v>
      </c>
      <c r="B54" s="9" t="s">
        <v>40</v>
      </c>
      <c r="C54" s="9" t="s">
        <v>23</v>
      </c>
      <c r="D54" s="9" t="s">
        <v>199</v>
      </c>
      <c r="E54" s="9" t="s">
        <v>200</v>
      </c>
      <c r="F54" s="9" t="s">
        <v>201</v>
      </c>
      <c r="G54" s="10">
        <v>4</v>
      </c>
      <c r="H54" s="11"/>
      <c r="I54" s="12" t="s">
        <v>44</v>
      </c>
      <c r="J54" s="13">
        <f t="shared" si="1"/>
        <v>0</v>
      </c>
      <c r="K54" s="9" t="s">
        <v>202</v>
      </c>
      <c r="L54" s="12"/>
    </row>
    <row r="55" spans="1:12" ht="42.95" customHeight="1">
      <c r="A55" s="8">
        <v>46310</v>
      </c>
      <c r="B55" s="9" t="s">
        <v>46</v>
      </c>
      <c r="C55" s="9" t="s">
        <v>23</v>
      </c>
      <c r="D55" s="9" t="s">
        <v>199</v>
      </c>
      <c r="E55" s="9" t="s">
        <v>203</v>
      </c>
      <c r="F55" s="9" t="s">
        <v>204</v>
      </c>
      <c r="G55" s="10">
        <v>2</v>
      </c>
      <c r="H55" s="11"/>
      <c r="I55" s="12" t="s">
        <v>44</v>
      </c>
      <c r="J55" s="13">
        <f t="shared" si="1"/>
        <v>0</v>
      </c>
      <c r="K55" s="9" t="s">
        <v>205</v>
      </c>
      <c r="L55" s="12"/>
    </row>
    <row r="56" spans="1:12" ht="42.95" customHeight="1">
      <c r="A56" s="8">
        <v>46311</v>
      </c>
      <c r="B56" s="9" t="s">
        <v>50</v>
      </c>
      <c r="C56" s="9" t="s">
        <v>23</v>
      </c>
      <c r="D56" s="9" t="s">
        <v>199</v>
      </c>
      <c r="E56" s="9" t="s">
        <v>206</v>
      </c>
      <c r="F56" s="9" t="s">
        <v>207</v>
      </c>
      <c r="G56" s="10">
        <v>1.5</v>
      </c>
      <c r="H56" s="11"/>
      <c r="I56" s="12" t="s">
        <v>44</v>
      </c>
      <c r="J56" s="13">
        <f t="shared" si="1"/>
        <v>0</v>
      </c>
      <c r="K56" s="9" t="s">
        <v>208</v>
      </c>
      <c r="L56" s="12"/>
    </row>
    <row r="57" spans="1:12" ht="42.95" customHeight="1">
      <c r="A57" s="8">
        <v>46312</v>
      </c>
      <c r="B57" s="9" t="s">
        <v>54</v>
      </c>
      <c r="C57" s="9" t="s">
        <v>23</v>
      </c>
      <c r="D57" s="9" t="s">
        <v>199</v>
      </c>
      <c r="E57" s="9" t="s">
        <v>209</v>
      </c>
      <c r="F57" s="9" t="s">
        <v>210</v>
      </c>
      <c r="G57" s="10">
        <v>4</v>
      </c>
      <c r="H57" s="11"/>
      <c r="I57" s="12" t="s">
        <v>44</v>
      </c>
      <c r="J57" s="13">
        <f t="shared" si="1"/>
        <v>0</v>
      </c>
      <c r="K57" s="9" t="s">
        <v>211</v>
      </c>
      <c r="L57" s="12"/>
    </row>
    <row r="58" spans="1:12" ht="42.95" customHeight="1">
      <c r="A58" s="8">
        <v>46313</v>
      </c>
      <c r="B58" s="9" t="s">
        <v>58</v>
      </c>
      <c r="C58" s="9" t="s">
        <v>23</v>
      </c>
      <c r="D58" s="9" t="s">
        <v>199</v>
      </c>
      <c r="E58" s="9" t="s">
        <v>190</v>
      </c>
      <c r="F58" s="9" t="s">
        <v>212</v>
      </c>
      <c r="G58" s="10">
        <v>2</v>
      </c>
      <c r="H58" s="11"/>
      <c r="I58" s="12" t="s">
        <v>44</v>
      </c>
      <c r="J58" s="13">
        <f t="shared" si="1"/>
        <v>0</v>
      </c>
      <c r="K58" s="9" t="s">
        <v>213</v>
      </c>
      <c r="L58" s="12"/>
    </row>
    <row r="59" spans="1:12" ht="42.95" customHeight="1">
      <c r="A59" s="8">
        <v>46314</v>
      </c>
      <c r="B59" s="9" t="s">
        <v>62</v>
      </c>
      <c r="C59" s="9" t="s">
        <v>23</v>
      </c>
      <c r="D59" s="9" t="s">
        <v>199</v>
      </c>
      <c r="E59" s="9" t="s">
        <v>214</v>
      </c>
      <c r="F59" s="9" t="s">
        <v>215</v>
      </c>
      <c r="G59" s="10">
        <v>4</v>
      </c>
      <c r="H59" s="11"/>
      <c r="I59" s="12" t="s">
        <v>44</v>
      </c>
      <c r="J59" s="13">
        <f t="shared" si="1"/>
        <v>0</v>
      </c>
      <c r="K59" s="9" t="s">
        <v>216</v>
      </c>
      <c r="L59" s="12"/>
    </row>
    <row r="60" spans="1:12" ht="42.95" customHeight="1">
      <c r="A60" s="8">
        <v>46315</v>
      </c>
      <c r="B60" s="9" t="s">
        <v>66</v>
      </c>
      <c r="C60" s="9" t="s">
        <v>23</v>
      </c>
      <c r="D60" s="9" t="s">
        <v>199</v>
      </c>
      <c r="E60" s="9" t="s">
        <v>217</v>
      </c>
      <c r="F60" s="9" t="s">
        <v>218</v>
      </c>
      <c r="G60" s="10">
        <v>0.5</v>
      </c>
      <c r="H60" s="11"/>
      <c r="I60" s="12" t="s">
        <v>44</v>
      </c>
      <c r="J60" s="13">
        <f t="shared" si="1"/>
        <v>0</v>
      </c>
      <c r="K60" s="9" t="s">
        <v>219</v>
      </c>
      <c r="L60" s="12"/>
    </row>
    <row r="61" spans="1:12" ht="42.95" customHeight="1">
      <c r="A61" s="8">
        <v>46316</v>
      </c>
      <c r="B61" s="9" t="s">
        <v>40</v>
      </c>
      <c r="C61" s="9" t="s">
        <v>220</v>
      </c>
      <c r="D61" s="9" t="s">
        <v>221</v>
      </c>
      <c r="E61" s="9" t="s">
        <v>222</v>
      </c>
      <c r="F61" s="9" t="s">
        <v>223</v>
      </c>
      <c r="G61" s="10">
        <v>1</v>
      </c>
      <c r="H61" s="11"/>
      <c r="I61" s="12" t="s">
        <v>44</v>
      </c>
      <c r="J61" s="13">
        <f t="shared" si="1"/>
        <v>0</v>
      </c>
      <c r="K61" s="9" t="s">
        <v>224</v>
      </c>
      <c r="L61" s="12"/>
    </row>
    <row r="62" spans="1:12" ht="42.95" customHeight="1">
      <c r="A62" s="8">
        <v>46317</v>
      </c>
      <c r="B62" s="9" t="s">
        <v>46</v>
      </c>
      <c r="C62" s="9" t="s">
        <v>220</v>
      </c>
      <c r="D62" s="9" t="s">
        <v>221</v>
      </c>
      <c r="E62" s="9" t="s">
        <v>225</v>
      </c>
      <c r="F62" s="9" t="s">
        <v>226</v>
      </c>
      <c r="G62" s="10">
        <v>1</v>
      </c>
      <c r="H62" s="11"/>
      <c r="I62" s="12" t="s">
        <v>44</v>
      </c>
      <c r="J62" s="13">
        <f t="shared" si="1"/>
        <v>0</v>
      </c>
      <c r="K62" s="9" t="s">
        <v>224</v>
      </c>
      <c r="L62" s="12"/>
    </row>
    <row r="63" spans="1:12" ht="42.95" customHeight="1">
      <c r="A63" s="8">
        <v>46318</v>
      </c>
      <c r="B63" s="9" t="s">
        <v>50</v>
      </c>
      <c r="C63" s="9" t="s">
        <v>220</v>
      </c>
      <c r="D63" s="9" t="s">
        <v>221</v>
      </c>
      <c r="E63" s="9" t="s">
        <v>227</v>
      </c>
      <c r="F63" s="9" t="s">
        <v>228</v>
      </c>
      <c r="G63" s="10">
        <v>0.5</v>
      </c>
      <c r="H63" s="11"/>
      <c r="I63" s="12" t="s">
        <v>44</v>
      </c>
      <c r="J63" s="13">
        <f t="shared" si="1"/>
        <v>0</v>
      </c>
      <c r="K63" s="9" t="s">
        <v>224</v>
      </c>
      <c r="L63" s="12"/>
    </row>
    <row r="64" spans="1:12" ht="42.95" customHeight="1">
      <c r="A64" s="8">
        <v>46319</v>
      </c>
      <c r="B64" s="9" t="s">
        <v>54</v>
      </c>
      <c r="C64" s="9" t="s">
        <v>220</v>
      </c>
      <c r="D64" s="9" t="s">
        <v>221</v>
      </c>
      <c r="E64" s="9" t="s">
        <v>229</v>
      </c>
      <c r="F64" s="9" t="s">
        <v>230</v>
      </c>
      <c r="G64" s="10">
        <v>0.5</v>
      </c>
      <c r="H64" s="11"/>
      <c r="I64" s="12" t="s">
        <v>44</v>
      </c>
      <c r="J64" s="13">
        <f t="shared" si="1"/>
        <v>0</v>
      </c>
      <c r="K64" s="9" t="s">
        <v>224</v>
      </c>
      <c r="L64" s="12"/>
    </row>
    <row r="65" spans="1:12" ht="42.95" customHeight="1">
      <c r="A65" s="8">
        <v>46320</v>
      </c>
      <c r="B65" s="9" t="s">
        <v>58</v>
      </c>
      <c r="C65" s="9" t="s">
        <v>220</v>
      </c>
      <c r="D65" s="9" t="s">
        <v>221</v>
      </c>
      <c r="E65" s="9" t="s">
        <v>229</v>
      </c>
      <c r="F65" s="9" t="s">
        <v>230</v>
      </c>
      <c r="G65" s="10">
        <v>0.5</v>
      </c>
      <c r="H65" s="11"/>
      <c r="I65" s="12" t="s">
        <v>44</v>
      </c>
      <c r="J65" s="13">
        <f t="shared" si="1"/>
        <v>0</v>
      </c>
      <c r="K65" s="9" t="s">
        <v>224</v>
      </c>
      <c r="L65" s="12"/>
    </row>
    <row r="66" spans="1:12" ht="42.95" customHeight="1">
      <c r="A66" s="8">
        <v>46321</v>
      </c>
      <c r="B66" s="9" t="s">
        <v>62</v>
      </c>
      <c r="C66" s="9" t="s">
        <v>220</v>
      </c>
      <c r="D66" s="9" t="s">
        <v>221</v>
      </c>
      <c r="E66" s="9" t="s">
        <v>229</v>
      </c>
      <c r="F66" s="9" t="s">
        <v>230</v>
      </c>
      <c r="G66" s="10">
        <v>0.5</v>
      </c>
      <c r="H66" s="11"/>
      <c r="I66" s="12" t="s">
        <v>44</v>
      </c>
      <c r="J66" s="13">
        <f t="shared" si="1"/>
        <v>0</v>
      </c>
      <c r="K66" s="9" t="s">
        <v>224</v>
      </c>
      <c r="L66" s="12"/>
    </row>
    <row r="67" spans="1:12" ht="42.95" customHeight="1">
      <c r="A67" s="14">
        <v>46322</v>
      </c>
      <c r="B67" s="15" t="s">
        <v>66</v>
      </c>
      <c r="C67" s="15" t="s">
        <v>220</v>
      </c>
      <c r="D67" s="15" t="s">
        <v>221</v>
      </c>
      <c r="E67" s="15" t="s">
        <v>229</v>
      </c>
      <c r="F67" s="15" t="s">
        <v>231</v>
      </c>
      <c r="G67" s="16">
        <v>0.5</v>
      </c>
      <c r="H67" s="17"/>
      <c r="I67" s="18" t="s">
        <v>44</v>
      </c>
      <c r="J67" s="19">
        <f t="shared" si="1"/>
        <v>0</v>
      </c>
      <c r="K67" s="15" t="s">
        <v>224</v>
      </c>
      <c r="L67" s="18"/>
    </row>
  </sheetData>
  <mergeCells count="2">
    <mergeCell ref="A1:L1"/>
    <mergeCell ref="A2:L2"/>
  </mergeCells>
  <phoneticPr fontId="18" type="noConversion"/>
  <conditionalFormatting sqref="I5:I67">
    <cfRule type="containsText" dxfId="7" priority="1" operator="containsText" text="已完成"/>
    <cfRule type="containsText" dxfId="6" priority="2" operator="containsText" text="顺延"/>
  </conditionalFormatting>
  <conditionalFormatting sqref="J5:J67">
    <cfRule type="dataBar" priority="3">
      <dataBar>
        <cfvo type="min"/>
        <cfvo type="max"/>
        <color rgb="FF2E8B70"/>
      </dataBar>
    </cfRule>
    <cfRule type="dataBar" priority="4">
      <dataBar>
        <cfvo type="min"/>
        <cfvo type="max"/>
        <color rgb="FF2E8B70"/>
      </dataBar>
      <extLst>
        <ext xmlns:x14="http://schemas.microsoft.com/office/spreadsheetml/2009/9/main" uri="{B025F937-C7B1-47D3-B67F-A62EFF666E3E}">
          <x14:id>{67CAC838-57E9-11FD-901C-505B268057FF}</x14:id>
        </ext>
      </extLst>
    </cfRule>
  </conditionalFormatting>
  <dataValidations count="2">
    <dataValidation type="list" sqref="I5:I67" xr:uid="{00000000-0002-0000-0100-000000000000}">
      <formula1>"未开始,进行中,已完成,顺延"</formula1>
    </dataValidation>
    <dataValidation type="decimal" sqref="H5:H67" xr:uid="{00000000-0002-0000-0100-000001000000}">
      <formula1>0</formula1>
      <formula2>12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AC838-57E9-11FD-901C-505B268057FF}">
            <x14:dataBar>
              <x14:cfvo type="min"/>
              <x14:cfvo type="max"/>
              <x14:negativeFillColor auto="1"/>
              <x14:axisColor auto="1"/>
            </x14:dataBar>
          </x14:cfRule>
          <xm:sqref>J5:J67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showGridLines="0" workbookViewId="0"/>
  </sheetViews>
  <sheetFormatPr defaultRowHeight="14.25"/>
  <cols>
    <col min="1" max="1" width="13" customWidth="1"/>
    <col min="2" max="2" width="14" customWidth="1"/>
    <col min="3" max="3" width="18" customWidth="1"/>
    <col min="4" max="5" width="12" customWidth="1"/>
    <col min="6" max="6" width="11" customWidth="1"/>
    <col min="7" max="7" width="15" customWidth="1"/>
    <col min="8" max="9" width="12" customWidth="1"/>
    <col min="10" max="11" width="11" customWidth="1"/>
    <col min="12" max="12" width="15" customWidth="1"/>
    <col min="13" max="13" width="11" customWidth="1"/>
    <col min="14" max="15" width="32" customWidth="1"/>
  </cols>
  <sheetData>
    <row r="1" spans="1:15" ht="33.950000000000003" customHeight="1">
      <c r="A1" s="35" t="s">
        <v>232</v>
      </c>
      <c r="B1" s="35" t="s">
        <v>232</v>
      </c>
      <c r="C1" s="35" t="s">
        <v>232</v>
      </c>
      <c r="D1" s="35" t="s">
        <v>232</v>
      </c>
      <c r="E1" s="35" t="s">
        <v>232</v>
      </c>
      <c r="F1" s="35" t="s">
        <v>232</v>
      </c>
      <c r="G1" s="35" t="s">
        <v>232</v>
      </c>
      <c r="H1" s="35" t="s">
        <v>232</v>
      </c>
      <c r="I1" s="35" t="s">
        <v>232</v>
      </c>
      <c r="J1" s="35" t="s">
        <v>232</v>
      </c>
      <c r="K1" s="35" t="s">
        <v>232</v>
      </c>
      <c r="L1" s="35" t="s">
        <v>232</v>
      </c>
      <c r="M1" s="35" t="s">
        <v>232</v>
      </c>
      <c r="N1" s="35" t="s">
        <v>232</v>
      </c>
      <c r="O1" s="35" t="s">
        <v>232</v>
      </c>
    </row>
    <row r="2" spans="1:15" ht="30" customHeight="1">
      <c r="A2" s="36" t="s">
        <v>233</v>
      </c>
      <c r="B2" s="36" t="s">
        <v>233</v>
      </c>
      <c r="C2" s="36" t="s">
        <v>233</v>
      </c>
      <c r="D2" s="36" t="s">
        <v>233</v>
      </c>
      <c r="E2" s="36" t="s">
        <v>233</v>
      </c>
      <c r="F2" s="36" t="s">
        <v>233</v>
      </c>
      <c r="G2" s="36" t="s">
        <v>233</v>
      </c>
      <c r="H2" s="36" t="s">
        <v>233</v>
      </c>
      <c r="I2" s="36" t="s">
        <v>233</v>
      </c>
      <c r="J2" s="36" t="s">
        <v>233</v>
      </c>
      <c r="K2" s="36" t="s">
        <v>233</v>
      </c>
      <c r="L2" s="36" t="s">
        <v>233</v>
      </c>
      <c r="M2" s="36" t="s">
        <v>233</v>
      </c>
      <c r="N2" s="36" t="s">
        <v>233</v>
      </c>
      <c r="O2" s="36" t="s">
        <v>233</v>
      </c>
    </row>
    <row r="4" spans="1:15" ht="15">
      <c r="A4" s="1" t="s">
        <v>30</v>
      </c>
      <c r="B4" s="1" t="s">
        <v>32</v>
      </c>
      <c r="C4" s="1" t="s">
        <v>234</v>
      </c>
      <c r="D4" s="1" t="s">
        <v>235</v>
      </c>
      <c r="E4" s="1" t="s">
        <v>236</v>
      </c>
      <c r="F4" s="1" t="s">
        <v>237</v>
      </c>
      <c r="G4" s="1" t="s">
        <v>238</v>
      </c>
      <c r="H4" s="1" t="s">
        <v>239</v>
      </c>
      <c r="I4" s="1" t="s">
        <v>240</v>
      </c>
      <c r="J4" s="1" t="s">
        <v>241</v>
      </c>
      <c r="K4" s="1" t="s">
        <v>242</v>
      </c>
      <c r="L4" s="1" t="s">
        <v>243</v>
      </c>
      <c r="M4" s="1" t="s">
        <v>244</v>
      </c>
      <c r="N4" s="1" t="s">
        <v>245</v>
      </c>
      <c r="O4" s="1" t="s">
        <v>246</v>
      </c>
    </row>
    <row r="5" spans="1:15" ht="38.1" customHeight="1">
      <c r="A5" s="2">
        <v>46261</v>
      </c>
      <c r="B5" s="3" t="s">
        <v>247</v>
      </c>
      <c r="C5" s="3" t="s">
        <v>248</v>
      </c>
      <c r="D5" s="6"/>
      <c r="E5" s="6"/>
      <c r="F5" s="3" t="str">
        <f t="shared" ref="F5:F12" si="0">IF(COUNT(D5:E5)=0,"",SUM(D5:E5))</f>
        <v/>
      </c>
      <c r="G5" s="3" t="str">
        <f t="shared" ref="G5:G12" si="1">IF(COUNT(D5:E5)&lt;2,"待填写",IF(AND(D5&gt;=45,E5&gt;=45),"双科通过","未双科通过"))</f>
        <v>待填写</v>
      </c>
      <c r="H5" s="3">
        <v>42</v>
      </c>
      <c r="I5" s="3">
        <v>35</v>
      </c>
      <c r="J5" s="3" t="str">
        <f t="shared" ref="J5:K12" si="2">IF(D5="","",D5-H5)</f>
        <v/>
      </c>
      <c r="K5" s="3" t="str">
        <f t="shared" si="2"/>
        <v/>
      </c>
      <c r="L5" s="6"/>
      <c r="M5" s="6" t="s">
        <v>249</v>
      </c>
      <c r="N5" s="6"/>
      <c r="O5" s="6"/>
    </row>
    <row r="6" spans="1:15" ht="38.1" customHeight="1">
      <c r="A6" s="8">
        <v>46285</v>
      </c>
      <c r="B6" s="9" t="s">
        <v>250</v>
      </c>
      <c r="C6" s="9" t="s">
        <v>251</v>
      </c>
      <c r="D6" s="12"/>
      <c r="E6" s="12"/>
      <c r="F6" s="9" t="str">
        <f t="shared" si="0"/>
        <v/>
      </c>
      <c r="G6" s="9" t="str">
        <f t="shared" si="1"/>
        <v>待填写</v>
      </c>
      <c r="H6" s="9">
        <v>48</v>
      </c>
      <c r="I6" s="9">
        <v>42</v>
      </c>
      <c r="J6" s="9" t="str">
        <f t="shared" si="2"/>
        <v/>
      </c>
      <c r="K6" s="9" t="str">
        <f t="shared" si="2"/>
        <v/>
      </c>
      <c r="L6" s="12"/>
      <c r="M6" s="12" t="s">
        <v>249</v>
      </c>
      <c r="N6" s="12"/>
      <c r="O6" s="12"/>
    </row>
    <row r="7" spans="1:15" ht="38.1" customHeight="1">
      <c r="A7" s="8">
        <v>46298</v>
      </c>
      <c r="B7" s="9" t="s">
        <v>252</v>
      </c>
      <c r="C7" s="9" t="s">
        <v>253</v>
      </c>
      <c r="D7" s="12"/>
      <c r="E7" s="12"/>
      <c r="F7" s="9" t="str">
        <f t="shared" si="0"/>
        <v/>
      </c>
      <c r="G7" s="9" t="str">
        <f t="shared" si="1"/>
        <v>待填写</v>
      </c>
      <c r="H7" s="9">
        <v>50</v>
      </c>
      <c r="I7" s="9">
        <v>50</v>
      </c>
      <c r="J7" s="9" t="str">
        <f t="shared" si="2"/>
        <v/>
      </c>
      <c r="K7" s="9" t="str">
        <f t="shared" si="2"/>
        <v/>
      </c>
      <c r="L7" s="12"/>
      <c r="M7" s="12" t="s">
        <v>249</v>
      </c>
      <c r="N7" s="12"/>
      <c r="O7" s="12"/>
    </row>
    <row r="8" spans="1:15" ht="38.1" customHeight="1">
      <c r="A8" s="8">
        <v>46305</v>
      </c>
      <c r="B8" s="9" t="s">
        <v>254</v>
      </c>
      <c r="C8" s="9" t="s">
        <v>187</v>
      </c>
      <c r="D8" s="12"/>
      <c r="E8" s="12"/>
      <c r="F8" s="9" t="str">
        <f t="shared" si="0"/>
        <v/>
      </c>
      <c r="G8" s="9" t="str">
        <f t="shared" si="1"/>
        <v>待填写</v>
      </c>
      <c r="H8" s="9">
        <v>52</v>
      </c>
      <c r="I8" s="9">
        <v>52</v>
      </c>
      <c r="J8" s="9" t="str">
        <f t="shared" si="2"/>
        <v/>
      </c>
      <c r="K8" s="9" t="str">
        <f t="shared" si="2"/>
        <v/>
      </c>
      <c r="L8" s="12"/>
      <c r="M8" s="12" t="s">
        <v>249</v>
      </c>
      <c r="N8" s="12"/>
      <c r="O8" s="12"/>
    </row>
    <row r="9" spans="1:15" ht="38.1" customHeight="1">
      <c r="A9" s="8">
        <v>46307</v>
      </c>
      <c r="B9" s="9" t="s">
        <v>254</v>
      </c>
      <c r="C9" s="9" t="s">
        <v>193</v>
      </c>
      <c r="D9" s="12"/>
      <c r="E9" s="12"/>
      <c r="F9" s="9" t="str">
        <f t="shared" si="0"/>
        <v/>
      </c>
      <c r="G9" s="9" t="str">
        <f t="shared" si="1"/>
        <v>待填写</v>
      </c>
      <c r="H9" s="9">
        <v>52</v>
      </c>
      <c r="I9" s="9">
        <v>52</v>
      </c>
      <c r="J9" s="9" t="str">
        <f t="shared" si="2"/>
        <v/>
      </c>
      <c r="K9" s="9" t="str">
        <f t="shared" si="2"/>
        <v/>
      </c>
      <c r="L9" s="12"/>
      <c r="M9" s="12" t="s">
        <v>249</v>
      </c>
      <c r="N9" s="12"/>
      <c r="O9" s="12"/>
    </row>
    <row r="10" spans="1:15" ht="38.1" customHeight="1">
      <c r="A10" s="8">
        <v>46309</v>
      </c>
      <c r="B10" s="9" t="s">
        <v>255</v>
      </c>
      <c r="C10" s="9" t="s">
        <v>200</v>
      </c>
      <c r="D10" s="12"/>
      <c r="E10" s="12"/>
      <c r="F10" s="9" t="str">
        <f t="shared" si="0"/>
        <v/>
      </c>
      <c r="G10" s="9" t="str">
        <f t="shared" si="1"/>
        <v>待填写</v>
      </c>
      <c r="H10" s="9">
        <v>55</v>
      </c>
      <c r="I10" s="9">
        <v>55</v>
      </c>
      <c r="J10" s="9" t="str">
        <f t="shared" si="2"/>
        <v/>
      </c>
      <c r="K10" s="9" t="str">
        <f t="shared" si="2"/>
        <v/>
      </c>
      <c r="L10" s="12"/>
      <c r="M10" s="12" t="s">
        <v>249</v>
      </c>
      <c r="N10" s="12"/>
      <c r="O10" s="12"/>
    </row>
    <row r="11" spans="1:15" ht="38.1" customHeight="1">
      <c r="A11" s="8">
        <v>46312</v>
      </c>
      <c r="B11" s="9" t="s">
        <v>255</v>
      </c>
      <c r="C11" s="9" t="s">
        <v>209</v>
      </c>
      <c r="D11" s="12"/>
      <c r="E11" s="12"/>
      <c r="F11" s="9" t="str">
        <f t="shared" si="0"/>
        <v/>
      </c>
      <c r="G11" s="9" t="str">
        <f t="shared" si="1"/>
        <v>待填写</v>
      </c>
      <c r="H11" s="9">
        <v>55</v>
      </c>
      <c r="I11" s="9">
        <v>55</v>
      </c>
      <c r="J11" s="9" t="str">
        <f t="shared" si="2"/>
        <v/>
      </c>
      <c r="K11" s="9" t="str">
        <f t="shared" si="2"/>
        <v/>
      </c>
      <c r="L11" s="12"/>
      <c r="M11" s="12" t="s">
        <v>249</v>
      </c>
      <c r="N11" s="12"/>
      <c r="O11" s="12"/>
    </row>
    <row r="12" spans="1:15" ht="38.1" customHeight="1">
      <c r="A12" s="14">
        <v>46314</v>
      </c>
      <c r="B12" s="15" t="s">
        <v>255</v>
      </c>
      <c r="C12" s="15" t="s">
        <v>214</v>
      </c>
      <c r="D12" s="18"/>
      <c r="E12" s="18"/>
      <c r="F12" s="15" t="str">
        <f t="shared" si="0"/>
        <v/>
      </c>
      <c r="G12" s="15" t="str">
        <f t="shared" si="1"/>
        <v>待填写</v>
      </c>
      <c r="H12" s="15">
        <v>55</v>
      </c>
      <c r="I12" s="15">
        <v>55</v>
      </c>
      <c r="J12" s="15" t="str">
        <f t="shared" si="2"/>
        <v/>
      </c>
      <c r="K12" s="15" t="str">
        <f t="shared" si="2"/>
        <v/>
      </c>
      <c r="L12" s="18"/>
      <c r="M12" s="18" t="s">
        <v>249</v>
      </c>
      <c r="N12" s="18"/>
      <c r="O12" s="18"/>
    </row>
  </sheetData>
  <mergeCells count="2">
    <mergeCell ref="A1:O1"/>
    <mergeCell ref="A2:O2"/>
  </mergeCells>
  <phoneticPr fontId="18" type="noConversion"/>
  <conditionalFormatting sqref="G5:G12">
    <cfRule type="containsText" dxfId="5" priority="1" operator="containsText" text="双科通过"/>
    <cfRule type="containsText" dxfId="4" priority="2" operator="containsText" text="未双科通过"/>
  </conditionalFormatting>
  <dataValidations count="3">
    <dataValidation type="whole" sqref="D5:E12" xr:uid="{00000000-0002-0000-0200-000000000000}">
      <formula1>0</formula1>
      <formula2>75</formula2>
    </dataValidation>
    <dataValidation type="whole" sqref="L5:L12" xr:uid="{00000000-0002-0000-0200-000001000000}">
      <formula1>0</formula1>
      <formula2>240</formula2>
    </dataValidation>
    <dataValidation type="list" sqref="M5:M12" xr:uid="{00000000-0002-0000-0200-000002000000}">
      <formula1>"否,是"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4"/>
  <sheetViews>
    <sheetView showGridLines="0" workbookViewId="0"/>
  </sheetViews>
  <sheetFormatPr defaultRowHeight="14.25"/>
  <cols>
    <col min="1" max="1" width="8" customWidth="1"/>
    <col min="2" max="2" width="13" customWidth="1"/>
    <col min="3" max="3" width="10" customWidth="1"/>
    <col min="4" max="4" width="18" customWidth="1"/>
    <col min="5" max="5" width="14" customWidth="1"/>
    <col min="6" max="6" width="18" customWidth="1"/>
    <col min="7" max="7" width="30" customWidth="1"/>
    <col min="8" max="8" width="34" customWidth="1"/>
    <col min="9" max="9" width="28" customWidth="1"/>
    <col min="10" max="10" width="11" customWidth="1"/>
    <col min="11" max="11" width="14" customWidth="1"/>
    <col min="12" max="12" width="11" customWidth="1"/>
  </cols>
  <sheetData>
    <row r="1" spans="1:12" ht="33.950000000000003" customHeight="1">
      <c r="A1" s="35" t="s">
        <v>256</v>
      </c>
      <c r="B1" s="35" t="s">
        <v>256</v>
      </c>
      <c r="C1" s="35" t="s">
        <v>256</v>
      </c>
      <c r="D1" s="35" t="s">
        <v>256</v>
      </c>
      <c r="E1" s="35" t="s">
        <v>256</v>
      </c>
      <c r="F1" s="35" t="s">
        <v>256</v>
      </c>
      <c r="G1" s="35" t="s">
        <v>256</v>
      </c>
      <c r="H1" s="35" t="s">
        <v>256</v>
      </c>
      <c r="I1" s="35" t="s">
        <v>256</v>
      </c>
      <c r="J1" s="35" t="s">
        <v>256</v>
      </c>
      <c r="K1" s="35" t="s">
        <v>256</v>
      </c>
      <c r="L1" s="35" t="s">
        <v>256</v>
      </c>
    </row>
    <row r="2" spans="1:12" ht="30" customHeight="1">
      <c r="A2" s="36" t="s">
        <v>257</v>
      </c>
      <c r="B2" s="36" t="s">
        <v>257</v>
      </c>
      <c r="C2" s="36" t="s">
        <v>257</v>
      </c>
      <c r="D2" s="36" t="s">
        <v>257</v>
      </c>
      <c r="E2" s="36" t="s">
        <v>257</v>
      </c>
      <c r="F2" s="36" t="s">
        <v>257</v>
      </c>
      <c r="G2" s="36" t="s">
        <v>257</v>
      </c>
      <c r="H2" s="36" t="s">
        <v>257</v>
      </c>
      <c r="I2" s="36" t="s">
        <v>257</v>
      </c>
      <c r="J2" s="36" t="s">
        <v>257</v>
      </c>
      <c r="K2" s="36" t="s">
        <v>257</v>
      </c>
      <c r="L2" s="36" t="s">
        <v>257</v>
      </c>
    </row>
    <row r="4" spans="1:12" ht="15">
      <c r="A4" s="1" t="s">
        <v>258</v>
      </c>
      <c r="B4" s="1" t="s">
        <v>30</v>
      </c>
      <c r="C4" s="1" t="s">
        <v>259</v>
      </c>
      <c r="D4" s="1" t="s">
        <v>260</v>
      </c>
      <c r="E4" s="1" t="s">
        <v>261</v>
      </c>
      <c r="F4" s="1" t="s">
        <v>262</v>
      </c>
      <c r="G4" s="1" t="s">
        <v>263</v>
      </c>
      <c r="H4" s="1" t="s">
        <v>264</v>
      </c>
      <c r="I4" s="1" t="s">
        <v>265</v>
      </c>
      <c r="J4" s="1" t="s">
        <v>266</v>
      </c>
      <c r="K4" s="1" t="s">
        <v>267</v>
      </c>
      <c r="L4" s="1" t="s">
        <v>268</v>
      </c>
    </row>
    <row r="5" spans="1:12">
      <c r="A5" s="3" t="str">
        <f t="shared" ref="A5:A36" si="0">IF(B5="","",ROW()-4)</f>
        <v/>
      </c>
      <c r="B5" s="20"/>
      <c r="C5" s="6"/>
      <c r="D5" s="6"/>
      <c r="E5" s="6"/>
      <c r="F5" s="6"/>
      <c r="G5" s="6"/>
      <c r="H5" s="6"/>
      <c r="I5" s="6"/>
      <c r="J5" s="3" t="str">
        <f>IF(D5="","",COUNTIFS($D$5:D5,D5,$E$5:E5,E5))</f>
        <v/>
      </c>
      <c r="K5" s="3" t="str">
        <f t="shared" ref="K5:K36" si="1">IF(J5="","",IF(J5&gt;=3,"是","否"))</f>
        <v/>
      </c>
      <c r="L5" s="6"/>
    </row>
    <row r="6" spans="1:12">
      <c r="A6" s="9" t="str">
        <f t="shared" si="0"/>
        <v/>
      </c>
      <c r="B6" s="21"/>
      <c r="C6" s="12"/>
      <c r="D6" s="12"/>
      <c r="E6" s="12"/>
      <c r="F6" s="12"/>
      <c r="G6" s="12"/>
      <c r="H6" s="12"/>
      <c r="I6" s="12"/>
      <c r="J6" s="9" t="str">
        <f>IF(D6="","",COUNTIFS($D$5:D6,D6,$E$5:E6,E6))</f>
        <v/>
      </c>
      <c r="K6" s="9" t="str">
        <f t="shared" si="1"/>
        <v/>
      </c>
      <c r="L6" s="12"/>
    </row>
    <row r="7" spans="1:12">
      <c r="A7" s="9" t="str">
        <f t="shared" si="0"/>
        <v/>
      </c>
      <c r="B7" s="21"/>
      <c r="C7" s="12"/>
      <c r="D7" s="12"/>
      <c r="E7" s="12"/>
      <c r="F7" s="12"/>
      <c r="G7" s="12"/>
      <c r="H7" s="12"/>
      <c r="I7" s="12"/>
      <c r="J7" s="9" t="str">
        <f>IF(D7="","",COUNTIFS($D$5:D7,D7,$E$5:E7,E7))</f>
        <v/>
      </c>
      <c r="K7" s="9" t="str">
        <f t="shared" si="1"/>
        <v/>
      </c>
      <c r="L7" s="12"/>
    </row>
    <row r="8" spans="1:12">
      <c r="A8" s="9" t="str">
        <f t="shared" si="0"/>
        <v/>
      </c>
      <c r="B8" s="21"/>
      <c r="C8" s="12"/>
      <c r="D8" s="12"/>
      <c r="E8" s="12"/>
      <c r="F8" s="12"/>
      <c r="G8" s="12"/>
      <c r="H8" s="12"/>
      <c r="I8" s="12"/>
      <c r="J8" s="9" t="str">
        <f>IF(D8="","",COUNTIFS($D$5:D8,D8,$E$5:E8,E8))</f>
        <v/>
      </c>
      <c r="K8" s="9" t="str">
        <f t="shared" si="1"/>
        <v/>
      </c>
      <c r="L8" s="12"/>
    </row>
    <row r="9" spans="1:12">
      <c r="A9" s="9" t="str">
        <f t="shared" si="0"/>
        <v/>
      </c>
      <c r="B9" s="21"/>
      <c r="C9" s="12"/>
      <c r="D9" s="12"/>
      <c r="E9" s="12"/>
      <c r="F9" s="12"/>
      <c r="G9" s="12"/>
      <c r="H9" s="12"/>
      <c r="I9" s="12"/>
      <c r="J9" s="9" t="str">
        <f>IF(D9="","",COUNTIFS($D$5:D9,D9,$E$5:E9,E9))</f>
        <v/>
      </c>
      <c r="K9" s="9" t="str">
        <f t="shared" si="1"/>
        <v/>
      </c>
      <c r="L9" s="12"/>
    </row>
    <row r="10" spans="1:12">
      <c r="A10" s="9" t="str">
        <f t="shared" si="0"/>
        <v/>
      </c>
      <c r="B10" s="21"/>
      <c r="C10" s="12"/>
      <c r="D10" s="12"/>
      <c r="E10" s="12"/>
      <c r="F10" s="12"/>
      <c r="G10" s="12"/>
      <c r="H10" s="12"/>
      <c r="I10" s="12"/>
      <c r="J10" s="9" t="str">
        <f>IF(D10="","",COUNTIFS($D$5:D10,D10,$E$5:E10,E10))</f>
        <v/>
      </c>
      <c r="K10" s="9" t="str">
        <f t="shared" si="1"/>
        <v/>
      </c>
      <c r="L10" s="12"/>
    </row>
    <row r="11" spans="1:12">
      <c r="A11" s="9" t="str">
        <f t="shared" si="0"/>
        <v/>
      </c>
      <c r="B11" s="21"/>
      <c r="C11" s="12"/>
      <c r="D11" s="12"/>
      <c r="E11" s="12"/>
      <c r="F11" s="12"/>
      <c r="G11" s="12"/>
      <c r="H11" s="12"/>
      <c r="I11" s="12"/>
      <c r="J11" s="9" t="str">
        <f>IF(D11="","",COUNTIFS($D$5:D11,D11,$E$5:E11,E11))</f>
        <v/>
      </c>
      <c r="K11" s="9" t="str">
        <f t="shared" si="1"/>
        <v/>
      </c>
      <c r="L11" s="12"/>
    </row>
    <row r="12" spans="1:12">
      <c r="A12" s="9" t="str">
        <f t="shared" si="0"/>
        <v/>
      </c>
      <c r="B12" s="21"/>
      <c r="C12" s="12"/>
      <c r="D12" s="12"/>
      <c r="E12" s="12"/>
      <c r="F12" s="12"/>
      <c r="G12" s="12"/>
      <c r="H12" s="12"/>
      <c r="I12" s="12"/>
      <c r="J12" s="9" t="str">
        <f>IF(D12="","",COUNTIFS($D$5:D12,D12,$E$5:E12,E12))</f>
        <v/>
      </c>
      <c r="K12" s="9" t="str">
        <f t="shared" si="1"/>
        <v/>
      </c>
      <c r="L12" s="12"/>
    </row>
    <row r="13" spans="1:12">
      <c r="A13" s="9" t="str">
        <f t="shared" si="0"/>
        <v/>
      </c>
      <c r="B13" s="21"/>
      <c r="C13" s="12"/>
      <c r="D13" s="12"/>
      <c r="E13" s="12"/>
      <c r="F13" s="12"/>
      <c r="G13" s="12"/>
      <c r="H13" s="12"/>
      <c r="I13" s="12"/>
      <c r="J13" s="9" t="str">
        <f>IF(D13="","",COUNTIFS($D$5:D13,D13,$E$5:E13,E13))</f>
        <v/>
      </c>
      <c r="K13" s="9" t="str">
        <f t="shared" si="1"/>
        <v/>
      </c>
      <c r="L13" s="12"/>
    </row>
    <row r="14" spans="1:12">
      <c r="A14" s="9" t="str">
        <f t="shared" si="0"/>
        <v/>
      </c>
      <c r="B14" s="21"/>
      <c r="C14" s="12"/>
      <c r="D14" s="12"/>
      <c r="E14" s="12"/>
      <c r="F14" s="12"/>
      <c r="G14" s="12"/>
      <c r="H14" s="12"/>
      <c r="I14" s="12"/>
      <c r="J14" s="9" t="str">
        <f>IF(D14="","",COUNTIFS($D$5:D14,D14,$E$5:E14,E14))</f>
        <v/>
      </c>
      <c r="K14" s="9" t="str">
        <f t="shared" si="1"/>
        <v/>
      </c>
      <c r="L14" s="12"/>
    </row>
    <row r="15" spans="1:12">
      <c r="A15" s="9" t="str">
        <f t="shared" si="0"/>
        <v/>
      </c>
      <c r="B15" s="21"/>
      <c r="C15" s="12"/>
      <c r="D15" s="12"/>
      <c r="E15" s="12"/>
      <c r="F15" s="12"/>
      <c r="G15" s="12"/>
      <c r="H15" s="12"/>
      <c r="I15" s="12"/>
      <c r="J15" s="9" t="str">
        <f>IF(D15="","",COUNTIFS($D$5:D15,D15,$E$5:E15,E15))</f>
        <v/>
      </c>
      <c r="K15" s="9" t="str">
        <f t="shared" si="1"/>
        <v/>
      </c>
      <c r="L15" s="12"/>
    </row>
    <row r="16" spans="1:12">
      <c r="A16" s="9" t="str">
        <f t="shared" si="0"/>
        <v/>
      </c>
      <c r="B16" s="21"/>
      <c r="C16" s="12"/>
      <c r="D16" s="12"/>
      <c r="E16" s="12"/>
      <c r="F16" s="12"/>
      <c r="G16" s="12"/>
      <c r="H16" s="12"/>
      <c r="I16" s="12"/>
      <c r="J16" s="9" t="str">
        <f>IF(D16="","",COUNTIFS($D$5:D16,D16,$E$5:E16,E16))</f>
        <v/>
      </c>
      <c r="K16" s="9" t="str">
        <f t="shared" si="1"/>
        <v/>
      </c>
      <c r="L16" s="12"/>
    </row>
    <row r="17" spans="1:12">
      <c r="A17" s="9" t="str">
        <f t="shared" si="0"/>
        <v/>
      </c>
      <c r="B17" s="21"/>
      <c r="C17" s="12"/>
      <c r="D17" s="12"/>
      <c r="E17" s="12"/>
      <c r="F17" s="12"/>
      <c r="G17" s="12"/>
      <c r="H17" s="12"/>
      <c r="I17" s="12"/>
      <c r="J17" s="9" t="str">
        <f>IF(D17="","",COUNTIFS($D$5:D17,D17,$E$5:E17,E17))</f>
        <v/>
      </c>
      <c r="K17" s="9" t="str">
        <f t="shared" si="1"/>
        <v/>
      </c>
      <c r="L17" s="12"/>
    </row>
    <row r="18" spans="1:12">
      <c r="A18" s="9" t="str">
        <f t="shared" si="0"/>
        <v/>
      </c>
      <c r="B18" s="21"/>
      <c r="C18" s="12"/>
      <c r="D18" s="12"/>
      <c r="E18" s="12"/>
      <c r="F18" s="12"/>
      <c r="G18" s="12"/>
      <c r="H18" s="12"/>
      <c r="I18" s="12"/>
      <c r="J18" s="9" t="str">
        <f>IF(D18="","",COUNTIFS($D$5:D18,D18,$E$5:E18,E18))</f>
        <v/>
      </c>
      <c r="K18" s="9" t="str">
        <f t="shared" si="1"/>
        <v/>
      </c>
      <c r="L18" s="12"/>
    </row>
    <row r="19" spans="1:12">
      <c r="A19" s="9" t="str">
        <f t="shared" si="0"/>
        <v/>
      </c>
      <c r="B19" s="21"/>
      <c r="C19" s="12"/>
      <c r="D19" s="12"/>
      <c r="E19" s="12"/>
      <c r="F19" s="12"/>
      <c r="G19" s="12"/>
      <c r="H19" s="12"/>
      <c r="I19" s="12"/>
      <c r="J19" s="9" t="str">
        <f>IF(D19="","",COUNTIFS($D$5:D19,D19,$E$5:E19,E19))</f>
        <v/>
      </c>
      <c r="K19" s="9" t="str">
        <f t="shared" si="1"/>
        <v/>
      </c>
      <c r="L19" s="12"/>
    </row>
    <row r="20" spans="1:12">
      <c r="A20" s="9" t="str">
        <f t="shared" si="0"/>
        <v/>
      </c>
      <c r="B20" s="21"/>
      <c r="C20" s="12"/>
      <c r="D20" s="12"/>
      <c r="E20" s="12"/>
      <c r="F20" s="12"/>
      <c r="G20" s="12"/>
      <c r="H20" s="12"/>
      <c r="I20" s="12"/>
      <c r="J20" s="9" t="str">
        <f>IF(D20="","",COUNTIFS($D$5:D20,D20,$E$5:E20,E20))</f>
        <v/>
      </c>
      <c r="K20" s="9" t="str">
        <f t="shared" si="1"/>
        <v/>
      </c>
      <c r="L20" s="12"/>
    </row>
    <row r="21" spans="1:12">
      <c r="A21" s="9" t="str">
        <f t="shared" si="0"/>
        <v/>
      </c>
      <c r="B21" s="21"/>
      <c r="C21" s="12"/>
      <c r="D21" s="12"/>
      <c r="E21" s="12"/>
      <c r="F21" s="12"/>
      <c r="G21" s="12"/>
      <c r="H21" s="12"/>
      <c r="I21" s="12"/>
      <c r="J21" s="9" t="str">
        <f>IF(D21="","",COUNTIFS($D$5:D21,D21,$E$5:E21,E21))</f>
        <v/>
      </c>
      <c r="K21" s="9" t="str">
        <f t="shared" si="1"/>
        <v/>
      </c>
      <c r="L21" s="12"/>
    </row>
    <row r="22" spans="1:12">
      <c r="A22" s="9" t="str">
        <f t="shared" si="0"/>
        <v/>
      </c>
      <c r="B22" s="21"/>
      <c r="C22" s="12"/>
      <c r="D22" s="12"/>
      <c r="E22" s="12"/>
      <c r="F22" s="12"/>
      <c r="G22" s="12"/>
      <c r="H22" s="12"/>
      <c r="I22" s="12"/>
      <c r="J22" s="9" t="str">
        <f>IF(D22="","",COUNTIFS($D$5:D22,D22,$E$5:E22,E22))</f>
        <v/>
      </c>
      <c r="K22" s="9" t="str">
        <f t="shared" si="1"/>
        <v/>
      </c>
      <c r="L22" s="12"/>
    </row>
    <row r="23" spans="1:12">
      <c r="A23" s="9" t="str">
        <f t="shared" si="0"/>
        <v/>
      </c>
      <c r="B23" s="21"/>
      <c r="C23" s="12"/>
      <c r="D23" s="12"/>
      <c r="E23" s="12"/>
      <c r="F23" s="12"/>
      <c r="G23" s="12"/>
      <c r="H23" s="12"/>
      <c r="I23" s="12"/>
      <c r="J23" s="9" t="str">
        <f>IF(D23="","",COUNTIFS($D$5:D23,D23,$E$5:E23,E23))</f>
        <v/>
      </c>
      <c r="K23" s="9" t="str">
        <f t="shared" si="1"/>
        <v/>
      </c>
      <c r="L23" s="12"/>
    </row>
    <row r="24" spans="1:12">
      <c r="A24" s="9" t="str">
        <f t="shared" si="0"/>
        <v/>
      </c>
      <c r="B24" s="21"/>
      <c r="C24" s="12"/>
      <c r="D24" s="12"/>
      <c r="E24" s="12"/>
      <c r="F24" s="12"/>
      <c r="G24" s="12"/>
      <c r="H24" s="12"/>
      <c r="I24" s="12"/>
      <c r="J24" s="9" t="str">
        <f>IF(D24="","",COUNTIFS($D$5:D24,D24,$E$5:E24,E24))</f>
        <v/>
      </c>
      <c r="K24" s="9" t="str">
        <f t="shared" si="1"/>
        <v/>
      </c>
      <c r="L24" s="12"/>
    </row>
    <row r="25" spans="1:12">
      <c r="A25" s="9" t="str">
        <f t="shared" si="0"/>
        <v/>
      </c>
      <c r="B25" s="21"/>
      <c r="C25" s="12"/>
      <c r="D25" s="12"/>
      <c r="E25" s="12"/>
      <c r="F25" s="12"/>
      <c r="G25" s="12"/>
      <c r="H25" s="12"/>
      <c r="I25" s="12"/>
      <c r="J25" s="9" t="str">
        <f>IF(D25="","",COUNTIFS($D$5:D25,D25,$E$5:E25,E25))</f>
        <v/>
      </c>
      <c r="K25" s="9" t="str">
        <f t="shared" si="1"/>
        <v/>
      </c>
      <c r="L25" s="12"/>
    </row>
    <row r="26" spans="1:12">
      <c r="A26" s="9" t="str">
        <f t="shared" si="0"/>
        <v/>
      </c>
      <c r="B26" s="21"/>
      <c r="C26" s="12"/>
      <c r="D26" s="12"/>
      <c r="E26" s="12"/>
      <c r="F26" s="12"/>
      <c r="G26" s="12"/>
      <c r="H26" s="12"/>
      <c r="I26" s="12"/>
      <c r="J26" s="9" t="str">
        <f>IF(D26="","",COUNTIFS($D$5:D26,D26,$E$5:E26,E26))</f>
        <v/>
      </c>
      <c r="K26" s="9" t="str">
        <f t="shared" si="1"/>
        <v/>
      </c>
      <c r="L26" s="12"/>
    </row>
    <row r="27" spans="1:12">
      <c r="A27" s="9" t="str">
        <f t="shared" si="0"/>
        <v/>
      </c>
      <c r="B27" s="21"/>
      <c r="C27" s="12"/>
      <c r="D27" s="12"/>
      <c r="E27" s="12"/>
      <c r="F27" s="12"/>
      <c r="G27" s="12"/>
      <c r="H27" s="12"/>
      <c r="I27" s="12"/>
      <c r="J27" s="9" t="str">
        <f>IF(D27="","",COUNTIFS($D$5:D27,D27,$E$5:E27,E27))</f>
        <v/>
      </c>
      <c r="K27" s="9" t="str">
        <f t="shared" si="1"/>
        <v/>
      </c>
      <c r="L27" s="12"/>
    </row>
    <row r="28" spans="1:12">
      <c r="A28" s="9" t="str">
        <f t="shared" si="0"/>
        <v/>
      </c>
      <c r="B28" s="21"/>
      <c r="C28" s="12"/>
      <c r="D28" s="12"/>
      <c r="E28" s="12"/>
      <c r="F28" s="12"/>
      <c r="G28" s="12"/>
      <c r="H28" s="12"/>
      <c r="I28" s="12"/>
      <c r="J28" s="9" t="str">
        <f>IF(D28="","",COUNTIFS($D$5:D28,D28,$E$5:E28,E28))</f>
        <v/>
      </c>
      <c r="K28" s="9" t="str">
        <f t="shared" si="1"/>
        <v/>
      </c>
      <c r="L28" s="12"/>
    </row>
    <row r="29" spans="1:12">
      <c r="A29" s="9" t="str">
        <f t="shared" si="0"/>
        <v/>
      </c>
      <c r="B29" s="21"/>
      <c r="C29" s="12"/>
      <c r="D29" s="12"/>
      <c r="E29" s="12"/>
      <c r="F29" s="12"/>
      <c r="G29" s="12"/>
      <c r="H29" s="12"/>
      <c r="I29" s="12"/>
      <c r="J29" s="9" t="str">
        <f>IF(D29="","",COUNTIFS($D$5:D29,D29,$E$5:E29,E29))</f>
        <v/>
      </c>
      <c r="K29" s="9" t="str">
        <f t="shared" si="1"/>
        <v/>
      </c>
      <c r="L29" s="12"/>
    </row>
    <row r="30" spans="1:12">
      <c r="A30" s="9" t="str">
        <f t="shared" si="0"/>
        <v/>
      </c>
      <c r="B30" s="21"/>
      <c r="C30" s="12"/>
      <c r="D30" s="12"/>
      <c r="E30" s="12"/>
      <c r="F30" s="12"/>
      <c r="G30" s="12"/>
      <c r="H30" s="12"/>
      <c r="I30" s="12"/>
      <c r="J30" s="9" t="str">
        <f>IF(D30="","",COUNTIFS($D$5:D30,D30,$E$5:E30,E30))</f>
        <v/>
      </c>
      <c r="K30" s="9" t="str">
        <f t="shared" si="1"/>
        <v/>
      </c>
      <c r="L30" s="12"/>
    </row>
    <row r="31" spans="1:12">
      <c r="A31" s="9" t="str">
        <f t="shared" si="0"/>
        <v/>
      </c>
      <c r="B31" s="21"/>
      <c r="C31" s="12"/>
      <c r="D31" s="12"/>
      <c r="E31" s="12"/>
      <c r="F31" s="12"/>
      <c r="G31" s="12"/>
      <c r="H31" s="12"/>
      <c r="I31" s="12"/>
      <c r="J31" s="9" t="str">
        <f>IF(D31="","",COUNTIFS($D$5:D31,D31,$E$5:E31,E31))</f>
        <v/>
      </c>
      <c r="K31" s="9" t="str">
        <f t="shared" si="1"/>
        <v/>
      </c>
      <c r="L31" s="12"/>
    </row>
    <row r="32" spans="1:12">
      <c r="A32" s="9" t="str">
        <f t="shared" si="0"/>
        <v/>
      </c>
      <c r="B32" s="21"/>
      <c r="C32" s="12"/>
      <c r="D32" s="12"/>
      <c r="E32" s="12"/>
      <c r="F32" s="12"/>
      <c r="G32" s="12"/>
      <c r="H32" s="12"/>
      <c r="I32" s="12"/>
      <c r="J32" s="9" t="str">
        <f>IF(D32="","",COUNTIFS($D$5:D32,D32,$E$5:E32,E32))</f>
        <v/>
      </c>
      <c r="K32" s="9" t="str">
        <f t="shared" si="1"/>
        <v/>
      </c>
      <c r="L32" s="12"/>
    </row>
    <row r="33" spans="1:12">
      <c r="A33" s="9" t="str">
        <f t="shared" si="0"/>
        <v/>
      </c>
      <c r="B33" s="21"/>
      <c r="C33" s="12"/>
      <c r="D33" s="12"/>
      <c r="E33" s="12"/>
      <c r="F33" s="12"/>
      <c r="G33" s="12"/>
      <c r="H33" s="12"/>
      <c r="I33" s="12"/>
      <c r="J33" s="9" t="str">
        <f>IF(D33="","",COUNTIFS($D$5:D33,D33,$E$5:E33,E33))</f>
        <v/>
      </c>
      <c r="K33" s="9" t="str">
        <f t="shared" si="1"/>
        <v/>
      </c>
      <c r="L33" s="12"/>
    </row>
    <row r="34" spans="1:12">
      <c r="A34" s="9" t="str">
        <f t="shared" si="0"/>
        <v/>
      </c>
      <c r="B34" s="21"/>
      <c r="C34" s="12"/>
      <c r="D34" s="12"/>
      <c r="E34" s="12"/>
      <c r="F34" s="12"/>
      <c r="G34" s="12"/>
      <c r="H34" s="12"/>
      <c r="I34" s="12"/>
      <c r="J34" s="9" t="str">
        <f>IF(D34="","",COUNTIFS($D$5:D34,D34,$E$5:E34,E34))</f>
        <v/>
      </c>
      <c r="K34" s="9" t="str">
        <f t="shared" si="1"/>
        <v/>
      </c>
      <c r="L34" s="12"/>
    </row>
    <row r="35" spans="1:12">
      <c r="A35" s="9" t="str">
        <f t="shared" si="0"/>
        <v/>
      </c>
      <c r="B35" s="21"/>
      <c r="C35" s="12"/>
      <c r="D35" s="12"/>
      <c r="E35" s="12"/>
      <c r="F35" s="12"/>
      <c r="G35" s="12"/>
      <c r="H35" s="12"/>
      <c r="I35" s="12"/>
      <c r="J35" s="9" t="str">
        <f>IF(D35="","",COUNTIFS($D$5:D35,D35,$E$5:E35,E35))</f>
        <v/>
      </c>
      <c r="K35" s="9" t="str">
        <f t="shared" si="1"/>
        <v/>
      </c>
      <c r="L35" s="12"/>
    </row>
    <row r="36" spans="1:12">
      <c r="A36" s="9" t="str">
        <f t="shared" si="0"/>
        <v/>
      </c>
      <c r="B36" s="21"/>
      <c r="C36" s="12"/>
      <c r="D36" s="12"/>
      <c r="E36" s="12"/>
      <c r="F36" s="12"/>
      <c r="G36" s="12"/>
      <c r="H36" s="12"/>
      <c r="I36" s="12"/>
      <c r="J36" s="9" t="str">
        <f>IF(D36="","",COUNTIFS($D$5:D36,D36,$E$5:E36,E36))</f>
        <v/>
      </c>
      <c r="K36" s="9" t="str">
        <f t="shared" si="1"/>
        <v/>
      </c>
      <c r="L36" s="12"/>
    </row>
    <row r="37" spans="1:12">
      <c r="A37" s="9" t="str">
        <f t="shared" ref="A37:A68" si="2">IF(B37="","",ROW()-4)</f>
        <v/>
      </c>
      <c r="B37" s="21"/>
      <c r="C37" s="12"/>
      <c r="D37" s="12"/>
      <c r="E37" s="12"/>
      <c r="F37" s="12"/>
      <c r="G37" s="12"/>
      <c r="H37" s="12"/>
      <c r="I37" s="12"/>
      <c r="J37" s="9" t="str">
        <f>IF(D37="","",COUNTIFS($D$5:D37,D37,$E$5:E37,E37))</f>
        <v/>
      </c>
      <c r="K37" s="9" t="str">
        <f t="shared" ref="K37:K68" si="3">IF(J37="","",IF(J37&gt;=3,"是","否"))</f>
        <v/>
      </c>
      <c r="L37" s="12"/>
    </row>
    <row r="38" spans="1:12">
      <c r="A38" s="9" t="str">
        <f t="shared" si="2"/>
        <v/>
      </c>
      <c r="B38" s="21"/>
      <c r="C38" s="12"/>
      <c r="D38" s="12"/>
      <c r="E38" s="12"/>
      <c r="F38" s="12"/>
      <c r="G38" s="12"/>
      <c r="H38" s="12"/>
      <c r="I38" s="12"/>
      <c r="J38" s="9" t="str">
        <f>IF(D38="","",COUNTIFS($D$5:D38,D38,$E$5:E38,E38))</f>
        <v/>
      </c>
      <c r="K38" s="9" t="str">
        <f t="shared" si="3"/>
        <v/>
      </c>
      <c r="L38" s="12"/>
    </row>
    <row r="39" spans="1:12">
      <c r="A39" s="9" t="str">
        <f t="shared" si="2"/>
        <v/>
      </c>
      <c r="B39" s="21"/>
      <c r="C39" s="12"/>
      <c r="D39" s="12"/>
      <c r="E39" s="12"/>
      <c r="F39" s="12"/>
      <c r="G39" s="12"/>
      <c r="H39" s="12"/>
      <c r="I39" s="12"/>
      <c r="J39" s="9" t="str">
        <f>IF(D39="","",COUNTIFS($D$5:D39,D39,$E$5:E39,E39))</f>
        <v/>
      </c>
      <c r="K39" s="9" t="str">
        <f t="shared" si="3"/>
        <v/>
      </c>
      <c r="L39" s="12"/>
    </row>
    <row r="40" spans="1:12">
      <c r="A40" s="9" t="str">
        <f t="shared" si="2"/>
        <v/>
      </c>
      <c r="B40" s="21"/>
      <c r="C40" s="12"/>
      <c r="D40" s="12"/>
      <c r="E40" s="12"/>
      <c r="F40" s="12"/>
      <c r="G40" s="12"/>
      <c r="H40" s="12"/>
      <c r="I40" s="12"/>
      <c r="J40" s="9" t="str">
        <f>IF(D40="","",COUNTIFS($D$5:D40,D40,$E$5:E40,E40))</f>
        <v/>
      </c>
      <c r="K40" s="9" t="str">
        <f t="shared" si="3"/>
        <v/>
      </c>
      <c r="L40" s="12"/>
    </row>
    <row r="41" spans="1:12">
      <c r="A41" s="9" t="str">
        <f t="shared" si="2"/>
        <v/>
      </c>
      <c r="B41" s="21"/>
      <c r="C41" s="12"/>
      <c r="D41" s="12"/>
      <c r="E41" s="12"/>
      <c r="F41" s="12"/>
      <c r="G41" s="12"/>
      <c r="H41" s="12"/>
      <c r="I41" s="12"/>
      <c r="J41" s="9" t="str">
        <f>IF(D41="","",COUNTIFS($D$5:D41,D41,$E$5:E41,E41))</f>
        <v/>
      </c>
      <c r="K41" s="9" t="str">
        <f t="shared" si="3"/>
        <v/>
      </c>
      <c r="L41" s="12"/>
    </row>
    <row r="42" spans="1:12">
      <c r="A42" s="9" t="str">
        <f t="shared" si="2"/>
        <v/>
      </c>
      <c r="B42" s="21"/>
      <c r="C42" s="12"/>
      <c r="D42" s="12"/>
      <c r="E42" s="12"/>
      <c r="F42" s="12"/>
      <c r="G42" s="12"/>
      <c r="H42" s="12"/>
      <c r="I42" s="12"/>
      <c r="J42" s="9" t="str">
        <f>IF(D42="","",COUNTIFS($D$5:D42,D42,$E$5:E42,E42))</f>
        <v/>
      </c>
      <c r="K42" s="9" t="str">
        <f t="shared" si="3"/>
        <v/>
      </c>
      <c r="L42" s="12"/>
    </row>
    <row r="43" spans="1:12">
      <c r="A43" s="9" t="str">
        <f t="shared" si="2"/>
        <v/>
      </c>
      <c r="B43" s="21"/>
      <c r="C43" s="12"/>
      <c r="D43" s="12"/>
      <c r="E43" s="12"/>
      <c r="F43" s="12"/>
      <c r="G43" s="12"/>
      <c r="H43" s="12"/>
      <c r="I43" s="12"/>
      <c r="J43" s="9" t="str">
        <f>IF(D43="","",COUNTIFS($D$5:D43,D43,$E$5:E43,E43))</f>
        <v/>
      </c>
      <c r="K43" s="9" t="str">
        <f t="shared" si="3"/>
        <v/>
      </c>
      <c r="L43" s="12"/>
    </row>
    <row r="44" spans="1:12">
      <c r="A44" s="9" t="str">
        <f t="shared" si="2"/>
        <v/>
      </c>
      <c r="B44" s="21"/>
      <c r="C44" s="12"/>
      <c r="D44" s="12"/>
      <c r="E44" s="12"/>
      <c r="F44" s="12"/>
      <c r="G44" s="12"/>
      <c r="H44" s="12"/>
      <c r="I44" s="12"/>
      <c r="J44" s="9" t="str">
        <f>IF(D44="","",COUNTIFS($D$5:D44,D44,$E$5:E44,E44))</f>
        <v/>
      </c>
      <c r="K44" s="9" t="str">
        <f t="shared" si="3"/>
        <v/>
      </c>
      <c r="L44" s="12"/>
    </row>
    <row r="45" spans="1:12">
      <c r="A45" s="9" t="str">
        <f t="shared" si="2"/>
        <v/>
      </c>
      <c r="B45" s="21"/>
      <c r="C45" s="12"/>
      <c r="D45" s="12"/>
      <c r="E45" s="12"/>
      <c r="F45" s="12"/>
      <c r="G45" s="12"/>
      <c r="H45" s="12"/>
      <c r="I45" s="12"/>
      <c r="J45" s="9" t="str">
        <f>IF(D45="","",COUNTIFS($D$5:D45,D45,$E$5:E45,E45))</f>
        <v/>
      </c>
      <c r="K45" s="9" t="str">
        <f t="shared" si="3"/>
        <v/>
      </c>
      <c r="L45" s="12"/>
    </row>
    <row r="46" spans="1:12">
      <c r="A46" s="9" t="str">
        <f t="shared" si="2"/>
        <v/>
      </c>
      <c r="B46" s="21"/>
      <c r="C46" s="12"/>
      <c r="D46" s="12"/>
      <c r="E46" s="12"/>
      <c r="F46" s="12"/>
      <c r="G46" s="12"/>
      <c r="H46" s="12"/>
      <c r="I46" s="12"/>
      <c r="J46" s="9" t="str">
        <f>IF(D46="","",COUNTIFS($D$5:D46,D46,$E$5:E46,E46))</f>
        <v/>
      </c>
      <c r="K46" s="9" t="str">
        <f t="shared" si="3"/>
        <v/>
      </c>
      <c r="L46" s="12"/>
    </row>
    <row r="47" spans="1:12">
      <c r="A47" s="9" t="str">
        <f t="shared" si="2"/>
        <v/>
      </c>
      <c r="B47" s="21"/>
      <c r="C47" s="12"/>
      <c r="D47" s="12"/>
      <c r="E47" s="12"/>
      <c r="F47" s="12"/>
      <c r="G47" s="12"/>
      <c r="H47" s="12"/>
      <c r="I47" s="12"/>
      <c r="J47" s="9" t="str">
        <f>IF(D47="","",COUNTIFS($D$5:D47,D47,$E$5:E47,E47))</f>
        <v/>
      </c>
      <c r="K47" s="9" t="str">
        <f t="shared" si="3"/>
        <v/>
      </c>
      <c r="L47" s="12"/>
    </row>
    <row r="48" spans="1:12">
      <c r="A48" s="9" t="str">
        <f t="shared" si="2"/>
        <v/>
      </c>
      <c r="B48" s="21"/>
      <c r="C48" s="12"/>
      <c r="D48" s="12"/>
      <c r="E48" s="12"/>
      <c r="F48" s="12"/>
      <c r="G48" s="12"/>
      <c r="H48" s="12"/>
      <c r="I48" s="12"/>
      <c r="J48" s="9" t="str">
        <f>IF(D48="","",COUNTIFS($D$5:D48,D48,$E$5:E48,E48))</f>
        <v/>
      </c>
      <c r="K48" s="9" t="str">
        <f t="shared" si="3"/>
        <v/>
      </c>
      <c r="L48" s="12"/>
    </row>
    <row r="49" spans="1:12">
      <c r="A49" s="9" t="str">
        <f t="shared" si="2"/>
        <v/>
      </c>
      <c r="B49" s="21"/>
      <c r="C49" s="12"/>
      <c r="D49" s="12"/>
      <c r="E49" s="12"/>
      <c r="F49" s="12"/>
      <c r="G49" s="12"/>
      <c r="H49" s="12"/>
      <c r="I49" s="12"/>
      <c r="J49" s="9" t="str">
        <f>IF(D49="","",COUNTIFS($D$5:D49,D49,$E$5:E49,E49))</f>
        <v/>
      </c>
      <c r="K49" s="9" t="str">
        <f t="shared" si="3"/>
        <v/>
      </c>
      <c r="L49" s="12"/>
    </row>
    <row r="50" spans="1:12">
      <c r="A50" s="9" t="str">
        <f t="shared" si="2"/>
        <v/>
      </c>
      <c r="B50" s="21"/>
      <c r="C50" s="12"/>
      <c r="D50" s="12"/>
      <c r="E50" s="12"/>
      <c r="F50" s="12"/>
      <c r="G50" s="12"/>
      <c r="H50" s="12"/>
      <c r="I50" s="12"/>
      <c r="J50" s="9" t="str">
        <f>IF(D50="","",COUNTIFS($D$5:D50,D50,$E$5:E50,E50))</f>
        <v/>
      </c>
      <c r="K50" s="9" t="str">
        <f t="shared" si="3"/>
        <v/>
      </c>
      <c r="L50" s="12"/>
    </row>
    <row r="51" spans="1:12">
      <c r="A51" s="9" t="str">
        <f t="shared" si="2"/>
        <v/>
      </c>
      <c r="B51" s="21"/>
      <c r="C51" s="12"/>
      <c r="D51" s="12"/>
      <c r="E51" s="12"/>
      <c r="F51" s="12"/>
      <c r="G51" s="12"/>
      <c r="H51" s="12"/>
      <c r="I51" s="12"/>
      <c r="J51" s="9" t="str">
        <f>IF(D51="","",COUNTIFS($D$5:D51,D51,$E$5:E51,E51))</f>
        <v/>
      </c>
      <c r="K51" s="9" t="str">
        <f t="shared" si="3"/>
        <v/>
      </c>
      <c r="L51" s="12"/>
    </row>
    <row r="52" spans="1:12">
      <c r="A52" s="9" t="str">
        <f t="shared" si="2"/>
        <v/>
      </c>
      <c r="B52" s="21"/>
      <c r="C52" s="12"/>
      <c r="D52" s="12"/>
      <c r="E52" s="12"/>
      <c r="F52" s="12"/>
      <c r="G52" s="12"/>
      <c r="H52" s="12"/>
      <c r="I52" s="12"/>
      <c r="J52" s="9" t="str">
        <f>IF(D52="","",COUNTIFS($D$5:D52,D52,$E$5:E52,E52))</f>
        <v/>
      </c>
      <c r="K52" s="9" t="str">
        <f t="shared" si="3"/>
        <v/>
      </c>
      <c r="L52" s="12"/>
    </row>
    <row r="53" spans="1:12">
      <c r="A53" s="9" t="str">
        <f t="shared" si="2"/>
        <v/>
      </c>
      <c r="B53" s="21"/>
      <c r="C53" s="12"/>
      <c r="D53" s="12"/>
      <c r="E53" s="12"/>
      <c r="F53" s="12"/>
      <c r="G53" s="12"/>
      <c r="H53" s="12"/>
      <c r="I53" s="12"/>
      <c r="J53" s="9" t="str">
        <f>IF(D53="","",COUNTIFS($D$5:D53,D53,$E$5:E53,E53))</f>
        <v/>
      </c>
      <c r="K53" s="9" t="str">
        <f t="shared" si="3"/>
        <v/>
      </c>
      <c r="L53" s="12"/>
    </row>
    <row r="54" spans="1:12">
      <c r="A54" s="9" t="str">
        <f t="shared" si="2"/>
        <v/>
      </c>
      <c r="B54" s="21"/>
      <c r="C54" s="12"/>
      <c r="D54" s="12"/>
      <c r="E54" s="12"/>
      <c r="F54" s="12"/>
      <c r="G54" s="12"/>
      <c r="H54" s="12"/>
      <c r="I54" s="12"/>
      <c r="J54" s="9" t="str">
        <f>IF(D54="","",COUNTIFS($D$5:D54,D54,$E$5:E54,E54))</f>
        <v/>
      </c>
      <c r="K54" s="9" t="str">
        <f t="shared" si="3"/>
        <v/>
      </c>
      <c r="L54" s="12"/>
    </row>
    <row r="55" spans="1:12">
      <c r="A55" s="9" t="str">
        <f t="shared" si="2"/>
        <v/>
      </c>
      <c r="B55" s="21"/>
      <c r="C55" s="12"/>
      <c r="D55" s="12"/>
      <c r="E55" s="12"/>
      <c r="F55" s="12"/>
      <c r="G55" s="12"/>
      <c r="H55" s="12"/>
      <c r="I55" s="12"/>
      <c r="J55" s="9" t="str">
        <f>IF(D55="","",COUNTIFS($D$5:D55,D55,$E$5:E55,E55))</f>
        <v/>
      </c>
      <c r="K55" s="9" t="str">
        <f t="shared" si="3"/>
        <v/>
      </c>
      <c r="L55" s="12"/>
    </row>
    <row r="56" spans="1:12">
      <c r="A56" s="9" t="str">
        <f t="shared" si="2"/>
        <v/>
      </c>
      <c r="B56" s="21"/>
      <c r="C56" s="12"/>
      <c r="D56" s="12"/>
      <c r="E56" s="12"/>
      <c r="F56" s="12"/>
      <c r="G56" s="12"/>
      <c r="H56" s="12"/>
      <c r="I56" s="12"/>
      <c r="J56" s="9" t="str">
        <f>IF(D56="","",COUNTIFS($D$5:D56,D56,$E$5:E56,E56))</f>
        <v/>
      </c>
      <c r="K56" s="9" t="str">
        <f t="shared" si="3"/>
        <v/>
      </c>
      <c r="L56" s="12"/>
    </row>
    <row r="57" spans="1:12">
      <c r="A57" s="9" t="str">
        <f t="shared" si="2"/>
        <v/>
      </c>
      <c r="B57" s="21"/>
      <c r="C57" s="12"/>
      <c r="D57" s="12"/>
      <c r="E57" s="12"/>
      <c r="F57" s="12"/>
      <c r="G57" s="12"/>
      <c r="H57" s="12"/>
      <c r="I57" s="12"/>
      <c r="J57" s="9" t="str">
        <f>IF(D57="","",COUNTIFS($D$5:D57,D57,$E$5:E57,E57))</f>
        <v/>
      </c>
      <c r="K57" s="9" t="str">
        <f t="shared" si="3"/>
        <v/>
      </c>
      <c r="L57" s="12"/>
    </row>
    <row r="58" spans="1:12">
      <c r="A58" s="9" t="str">
        <f t="shared" si="2"/>
        <v/>
      </c>
      <c r="B58" s="21"/>
      <c r="C58" s="12"/>
      <c r="D58" s="12"/>
      <c r="E58" s="12"/>
      <c r="F58" s="12"/>
      <c r="G58" s="12"/>
      <c r="H58" s="12"/>
      <c r="I58" s="12"/>
      <c r="J58" s="9" t="str">
        <f>IF(D58="","",COUNTIFS($D$5:D58,D58,$E$5:E58,E58))</f>
        <v/>
      </c>
      <c r="K58" s="9" t="str">
        <f t="shared" si="3"/>
        <v/>
      </c>
      <c r="L58" s="12"/>
    </row>
    <row r="59" spans="1:12">
      <c r="A59" s="9" t="str">
        <f t="shared" si="2"/>
        <v/>
      </c>
      <c r="B59" s="21"/>
      <c r="C59" s="12"/>
      <c r="D59" s="12"/>
      <c r="E59" s="12"/>
      <c r="F59" s="12"/>
      <c r="G59" s="12"/>
      <c r="H59" s="12"/>
      <c r="I59" s="12"/>
      <c r="J59" s="9" t="str">
        <f>IF(D59="","",COUNTIFS($D$5:D59,D59,$E$5:E59,E59))</f>
        <v/>
      </c>
      <c r="K59" s="9" t="str">
        <f t="shared" si="3"/>
        <v/>
      </c>
      <c r="L59" s="12"/>
    </row>
    <row r="60" spans="1:12">
      <c r="A60" s="9" t="str">
        <f t="shared" si="2"/>
        <v/>
      </c>
      <c r="B60" s="21"/>
      <c r="C60" s="12"/>
      <c r="D60" s="12"/>
      <c r="E60" s="12"/>
      <c r="F60" s="12"/>
      <c r="G60" s="12"/>
      <c r="H60" s="12"/>
      <c r="I60" s="12"/>
      <c r="J60" s="9" t="str">
        <f>IF(D60="","",COUNTIFS($D$5:D60,D60,$E$5:E60,E60))</f>
        <v/>
      </c>
      <c r="K60" s="9" t="str">
        <f t="shared" si="3"/>
        <v/>
      </c>
      <c r="L60" s="12"/>
    </row>
    <row r="61" spans="1:12">
      <c r="A61" s="9" t="str">
        <f t="shared" si="2"/>
        <v/>
      </c>
      <c r="B61" s="21"/>
      <c r="C61" s="12"/>
      <c r="D61" s="12"/>
      <c r="E61" s="12"/>
      <c r="F61" s="12"/>
      <c r="G61" s="12"/>
      <c r="H61" s="12"/>
      <c r="I61" s="12"/>
      <c r="J61" s="9" t="str">
        <f>IF(D61="","",COUNTIFS($D$5:D61,D61,$E$5:E61,E61))</f>
        <v/>
      </c>
      <c r="K61" s="9" t="str">
        <f t="shared" si="3"/>
        <v/>
      </c>
      <c r="L61" s="12"/>
    </row>
    <row r="62" spans="1:12">
      <c r="A62" s="9" t="str">
        <f t="shared" si="2"/>
        <v/>
      </c>
      <c r="B62" s="21"/>
      <c r="C62" s="12"/>
      <c r="D62" s="12"/>
      <c r="E62" s="12"/>
      <c r="F62" s="12"/>
      <c r="G62" s="12"/>
      <c r="H62" s="12"/>
      <c r="I62" s="12"/>
      <c r="J62" s="9" t="str">
        <f>IF(D62="","",COUNTIFS($D$5:D62,D62,$E$5:E62,E62))</f>
        <v/>
      </c>
      <c r="K62" s="9" t="str">
        <f t="shared" si="3"/>
        <v/>
      </c>
      <c r="L62" s="12"/>
    </row>
    <row r="63" spans="1:12">
      <c r="A63" s="9" t="str">
        <f t="shared" si="2"/>
        <v/>
      </c>
      <c r="B63" s="21"/>
      <c r="C63" s="12"/>
      <c r="D63" s="12"/>
      <c r="E63" s="12"/>
      <c r="F63" s="12"/>
      <c r="G63" s="12"/>
      <c r="H63" s="12"/>
      <c r="I63" s="12"/>
      <c r="J63" s="9" t="str">
        <f>IF(D63="","",COUNTIFS($D$5:D63,D63,$E$5:E63,E63))</f>
        <v/>
      </c>
      <c r="K63" s="9" t="str">
        <f t="shared" si="3"/>
        <v/>
      </c>
      <c r="L63" s="12"/>
    </row>
    <row r="64" spans="1:12">
      <c r="A64" s="9" t="str">
        <f t="shared" si="2"/>
        <v/>
      </c>
      <c r="B64" s="21"/>
      <c r="C64" s="12"/>
      <c r="D64" s="12"/>
      <c r="E64" s="12"/>
      <c r="F64" s="12"/>
      <c r="G64" s="12"/>
      <c r="H64" s="12"/>
      <c r="I64" s="12"/>
      <c r="J64" s="9" t="str">
        <f>IF(D64="","",COUNTIFS($D$5:D64,D64,$E$5:E64,E64))</f>
        <v/>
      </c>
      <c r="K64" s="9" t="str">
        <f t="shared" si="3"/>
        <v/>
      </c>
      <c r="L64" s="12"/>
    </row>
    <row r="65" spans="1:12">
      <c r="A65" s="9" t="str">
        <f t="shared" si="2"/>
        <v/>
      </c>
      <c r="B65" s="21"/>
      <c r="C65" s="12"/>
      <c r="D65" s="12"/>
      <c r="E65" s="12"/>
      <c r="F65" s="12"/>
      <c r="G65" s="12"/>
      <c r="H65" s="12"/>
      <c r="I65" s="12"/>
      <c r="J65" s="9" t="str">
        <f>IF(D65="","",COUNTIFS($D$5:D65,D65,$E$5:E65,E65))</f>
        <v/>
      </c>
      <c r="K65" s="9" t="str">
        <f t="shared" si="3"/>
        <v/>
      </c>
      <c r="L65" s="12"/>
    </row>
    <row r="66" spans="1:12">
      <c r="A66" s="9" t="str">
        <f t="shared" si="2"/>
        <v/>
      </c>
      <c r="B66" s="21"/>
      <c r="C66" s="12"/>
      <c r="D66" s="12"/>
      <c r="E66" s="12"/>
      <c r="F66" s="12"/>
      <c r="G66" s="12"/>
      <c r="H66" s="12"/>
      <c r="I66" s="12"/>
      <c r="J66" s="9" t="str">
        <f>IF(D66="","",COUNTIFS($D$5:D66,D66,$E$5:E66,E66))</f>
        <v/>
      </c>
      <c r="K66" s="9" t="str">
        <f t="shared" si="3"/>
        <v/>
      </c>
      <c r="L66" s="12"/>
    </row>
    <row r="67" spans="1:12">
      <c r="A67" s="9" t="str">
        <f t="shared" si="2"/>
        <v/>
      </c>
      <c r="B67" s="21"/>
      <c r="C67" s="12"/>
      <c r="D67" s="12"/>
      <c r="E67" s="12"/>
      <c r="F67" s="12"/>
      <c r="G67" s="12"/>
      <c r="H67" s="12"/>
      <c r="I67" s="12"/>
      <c r="J67" s="9" t="str">
        <f>IF(D67="","",COUNTIFS($D$5:D67,D67,$E$5:E67,E67))</f>
        <v/>
      </c>
      <c r="K67" s="9" t="str">
        <f t="shared" si="3"/>
        <v/>
      </c>
      <c r="L67" s="12"/>
    </row>
    <row r="68" spans="1:12">
      <c r="A68" s="9" t="str">
        <f t="shared" si="2"/>
        <v/>
      </c>
      <c r="B68" s="21"/>
      <c r="C68" s="12"/>
      <c r="D68" s="12"/>
      <c r="E68" s="12"/>
      <c r="F68" s="12"/>
      <c r="G68" s="12"/>
      <c r="H68" s="12"/>
      <c r="I68" s="12"/>
      <c r="J68" s="9" t="str">
        <f>IF(D68="","",COUNTIFS($D$5:D68,D68,$E$5:E68,E68))</f>
        <v/>
      </c>
      <c r="K68" s="9" t="str">
        <f t="shared" si="3"/>
        <v/>
      </c>
      <c r="L68" s="12"/>
    </row>
    <row r="69" spans="1:12">
      <c r="A69" s="9" t="str">
        <f t="shared" ref="A69:A100" si="4">IF(B69="","",ROW()-4)</f>
        <v/>
      </c>
      <c r="B69" s="21"/>
      <c r="C69" s="12"/>
      <c r="D69" s="12"/>
      <c r="E69" s="12"/>
      <c r="F69" s="12"/>
      <c r="G69" s="12"/>
      <c r="H69" s="12"/>
      <c r="I69" s="12"/>
      <c r="J69" s="9" t="str">
        <f>IF(D69="","",COUNTIFS($D$5:D69,D69,$E$5:E69,E69))</f>
        <v/>
      </c>
      <c r="K69" s="9" t="str">
        <f t="shared" ref="K69:K100" si="5">IF(J69="","",IF(J69&gt;=3,"是","否"))</f>
        <v/>
      </c>
      <c r="L69" s="12"/>
    </row>
    <row r="70" spans="1:12">
      <c r="A70" s="9" t="str">
        <f t="shared" si="4"/>
        <v/>
      </c>
      <c r="B70" s="21"/>
      <c r="C70" s="12"/>
      <c r="D70" s="12"/>
      <c r="E70" s="12"/>
      <c r="F70" s="12"/>
      <c r="G70" s="12"/>
      <c r="H70" s="12"/>
      <c r="I70" s="12"/>
      <c r="J70" s="9" t="str">
        <f>IF(D70="","",COUNTIFS($D$5:D70,D70,$E$5:E70,E70))</f>
        <v/>
      </c>
      <c r="K70" s="9" t="str">
        <f t="shared" si="5"/>
        <v/>
      </c>
      <c r="L70" s="12"/>
    </row>
    <row r="71" spans="1:12">
      <c r="A71" s="9" t="str">
        <f t="shared" si="4"/>
        <v/>
      </c>
      <c r="B71" s="21"/>
      <c r="C71" s="12"/>
      <c r="D71" s="12"/>
      <c r="E71" s="12"/>
      <c r="F71" s="12"/>
      <c r="G71" s="12"/>
      <c r="H71" s="12"/>
      <c r="I71" s="12"/>
      <c r="J71" s="9" t="str">
        <f>IF(D71="","",COUNTIFS($D$5:D71,D71,$E$5:E71,E71))</f>
        <v/>
      </c>
      <c r="K71" s="9" t="str">
        <f t="shared" si="5"/>
        <v/>
      </c>
      <c r="L71" s="12"/>
    </row>
    <row r="72" spans="1:12">
      <c r="A72" s="9" t="str">
        <f t="shared" si="4"/>
        <v/>
      </c>
      <c r="B72" s="21"/>
      <c r="C72" s="12"/>
      <c r="D72" s="12"/>
      <c r="E72" s="12"/>
      <c r="F72" s="12"/>
      <c r="G72" s="12"/>
      <c r="H72" s="12"/>
      <c r="I72" s="12"/>
      <c r="J72" s="9" t="str">
        <f>IF(D72="","",COUNTIFS($D$5:D72,D72,$E$5:E72,E72))</f>
        <v/>
      </c>
      <c r="K72" s="9" t="str">
        <f t="shared" si="5"/>
        <v/>
      </c>
      <c r="L72" s="12"/>
    </row>
    <row r="73" spans="1:12">
      <c r="A73" s="9" t="str">
        <f t="shared" si="4"/>
        <v/>
      </c>
      <c r="B73" s="21"/>
      <c r="C73" s="12"/>
      <c r="D73" s="12"/>
      <c r="E73" s="12"/>
      <c r="F73" s="12"/>
      <c r="G73" s="12"/>
      <c r="H73" s="12"/>
      <c r="I73" s="12"/>
      <c r="J73" s="9" t="str">
        <f>IF(D73="","",COUNTIFS($D$5:D73,D73,$E$5:E73,E73))</f>
        <v/>
      </c>
      <c r="K73" s="9" t="str">
        <f t="shared" si="5"/>
        <v/>
      </c>
      <c r="L73" s="12"/>
    </row>
    <row r="74" spans="1:12">
      <c r="A74" s="9" t="str">
        <f t="shared" si="4"/>
        <v/>
      </c>
      <c r="B74" s="21"/>
      <c r="C74" s="12"/>
      <c r="D74" s="12"/>
      <c r="E74" s="12"/>
      <c r="F74" s="12"/>
      <c r="G74" s="12"/>
      <c r="H74" s="12"/>
      <c r="I74" s="12"/>
      <c r="J74" s="9" t="str">
        <f>IF(D74="","",COUNTIFS($D$5:D74,D74,$E$5:E74,E74))</f>
        <v/>
      </c>
      <c r="K74" s="9" t="str">
        <f t="shared" si="5"/>
        <v/>
      </c>
      <c r="L74" s="12"/>
    </row>
    <row r="75" spans="1:12">
      <c r="A75" s="9" t="str">
        <f t="shared" si="4"/>
        <v/>
      </c>
      <c r="B75" s="21"/>
      <c r="C75" s="12"/>
      <c r="D75" s="12"/>
      <c r="E75" s="12"/>
      <c r="F75" s="12"/>
      <c r="G75" s="12"/>
      <c r="H75" s="12"/>
      <c r="I75" s="12"/>
      <c r="J75" s="9" t="str">
        <f>IF(D75="","",COUNTIFS($D$5:D75,D75,$E$5:E75,E75))</f>
        <v/>
      </c>
      <c r="K75" s="9" t="str">
        <f t="shared" si="5"/>
        <v/>
      </c>
      <c r="L75" s="12"/>
    </row>
    <row r="76" spans="1:12">
      <c r="A76" s="9" t="str">
        <f t="shared" si="4"/>
        <v/>
      </c>
      <c r="B76" s="21"/>
      <c r="C76" s="12"/>
      <c r="D76" s="12"/>
      <c r="E76" s="12"/>
      <c r="F76" s="12"/>
      <c r="G76" s="12"/>
      <c r="H76" s="12"/>
      <c r="I76" s="12"/>
      <c r="J76" s="9" t="str">
        <f>IF(D76="","",COUNTIFS($D$5:D76,D76,$E$5:E76,E76))</f>
        <v/>
      </c>
      <c r="K76" s="9" t="str">
        <f t="shared" si="5"/>
        <v/>
      </c>
      <c r="L76" s="12"/>
    </row>
    <row r="77" spans="1:12">
      <c r="A77" s="9" t="str">
        <f t="shared" si="4"/>
        <v/>
      </c>
      <c r="B77" s="21"/>
      <c r="C77" s="12"/>
      <c r="D77" s="12"/>
      <c r="E77" s="12"/>
      <c r="F77" s="12"/>
      <c r="G77" s="12"/>
      <c r="H77" s="12"/>
      <c r="I77" s="12"/>
      <c r="J77" s="9" t="str">
        <f>IF(D77="","",COUNTIFS($D$5:D77,D77,$E$5:E77,E77))</f>
        <v/>
      </c>
      <c r="K77" s="9" t="str">
        <f t="shared" si="5"/>
        <v/>
      </c>
      <c r="L77" s="12"/>
    </row>
    <row r="78" spans="1:12">
      <c r="A78" s="9" t="str">
        <f t="shared" si="4"/>
        <v/>
      </c>
      <c r="B78" s="21"/>
      <c r="C78" s="12"/>
      <c r="D78" s="12"/>
      <c r="E78" s="12"/>
      <c r="F78" s="12"/>
      <c r="G78" s="12"/>
      <c r="H78" s="12"/>
      <c r="I78" s="12"/>
      <c r="J78" s="9" t="str">
        <f>IF(D78="","",COUNTIFS($D$5:D78,D78,$E$5:E78,E78))</f>
        <v/>
      </c>
      <c r="K78" s="9" t="str">
        <f t="shared" si="5"/>
        <v/>
      </c>
      <c r="L78" s="12"/>
    </row>
    <row r="79" spans="1:12">
      <c r="A79" s="9" t="str">
        <f t="shared" si="4"/>
        <v/>
      </c>
      <c r="B79" s="21"/>
      <c r="C79" s="12"/>
      <c r="D79" s="12"/>
      <c r="E79" s="12"/>
      <c r="F79" s="12"/>
      <c r="G79" s="12"/>
      <c r="H79" s="12"/>
      <c r="I79" s="12"/>
      <c r="J79" s="9" t="str">
        <f>IF(D79="","",COUNTIFS($D$5:D79,D79,$E$5:E79,E79))</f>
        <v/>
      </c>
      <c r="K79" s="9" t="str">
        <f t="shared" si="5"/>
        <v/>
      </c>
      <c r="L79" s="12"/>
    </row>
    <row r="80" spans="1:12">
      <c r="A80" s="9" t="str">
        <f t="shared" si="4"/>
        <v/>
      </c>
      <c r="B80" s="21"/>
      <c r="C80" s="12"/>
      <c r="D80" s="12"/>
      <c r="E80" s="12"/>
      <c r="F80" s="12"/>
      <c r="G80" s="12"/>
      <c r="H80" s="12"/>
      <c r="I80" s="12"/>
      <c r="J80" s="9" t="str">
        <f>IF(D80="","",COUNTIFS($D$5:D80,D80,$E$5:E80,E80))</f>
        <v/>
      </c>
      <c r="K80" s="9" t="str">
        <f t="shared" si="5"/>
        <v/>
      </c>
      <c r="L80" s="12"/>
    </row>
    <row r="81" spans="1:12">
      <c r="A81" s="9" t="str">
        <f t="shared" si="4"/>
        <v/>
      </c>
      <c r="B81" s="21"/>
      <c r="C81" s="12"/>
      <c r="D81" s="12"/>
      <c r="E81" s="12"/>
      <c r="F81" s="12"/>
      <c r="G81" s="12"/>
      <c r="H81" s="12"/>
      <c r="I81" s="12"/>
      <c r="J81" s="9" t="str">
        <f>IF(D81="","",COUNTIFS($D$5:D81,D81,$E$5:E81,E81))</f>
        <v/>
      </c>
      <c r="K81" s="9" t="str">
        <f t="shared" si="5"/>
        <v/>
      </c>
      <c r="L81" s="12"/>
    </row>
    <row r="82" spans="1:12">
      <c r="A82" s="9" t="str">
        <f t="shared" si="4"/>
        <v/>
      </c>
      <c r="B82" s="21"/>
      <c r="C82" s="12"/>
      <c r="D82" s="12"/>
      <c r="E82" s="12"/>
      <c r="F82" s="12"/>
      <c r="G82" s="12"/>
      <c r="H82" s="12"/>
      <c r="I82" s="12"/>
      <c r="J82" s="9" t="str">
        <f>IF(D82="","",COUNTIFS($D$5:D82,D82,$E$5:E82,E82))</f>
        <v/>
      </c>
      <c r="K82" s="9" t="str">
        <f t="shared" si="5"/>
        <v/>
      </c>
      <c r="L82" s="12"/>
    </row>
    <row r="83" spans="1:12">
      <c r="A83" s="9" t="str">
        <f t="shared" si="4"/>
        <v/>
      </c>
      <c r="B83" s="21"/>
      <c r="C83" s="12"/>
      <c r="D83" s="12"/>
      <c r="E83" s="12"/>
      <c r="F83" s="12"/>
      <c r="G83" s="12"/>
      <c r="H83" s="12"/>
      <c r="I83" s="12"/>
      <c r="J83" s="9" t="str">
        <f>IF(D83="","",COUNTIFS($D$5:D83,D83,$E$5:E83,E83))</f>
        <v/>
      </c>
      <c r="K83" s="9" t="str">
        <f t="shared" si="5"/>
        <v/>
      </c>
      <c r="L83" s="12"/>
    </row>
    <row r="84" spans="1:12">
      <c r="A84" s="9" t="str">
        <f t="shared" si="4"/>
        <v/>
      </c>
      <c r="B84" s="21"/>
      <c r="C84" s="12"/>
      <c r="D84" s="12"/>
      <c r="E84" s="12"/>
      <c r="F84" s="12"/>
      <c r="G84" s="12"/>
      <c r="H84" s="12"/>
      <c r="I84" s="12"/>
      <c r="J84" s="9" t="str">
        <f>IF(D84="","",COUNTIFS($D$5:D84,D84,$E$5:E84,E84))</f>
        <v/>
      </c>
      <c r="K84" s="9" t="str">
        <f t="shared" si="5"/>
        <v/>
      </c>
      <c r="L84" s="12"/>
    </row>
    <row r="85" spans="1:12">
      <c r="A85" s="9" t="str">
        <f t="shared" si="4"/>
        <v/>
      </c>
      <c r="B85" s="21"/>
      <c r="C85" s="12"/>
      <c r="D85" s="12"/>
      <c r="E85" s="12"/>
      <c r="F85" s="12"/>
      <c r="G85" s="12"/>
      <c r="H85" s="12"/>
      <c r="I85" s="12"/>
      <c r="J85" s="9" t="str">
        <f>IF(D85="","",COUNTIFS($D$5:D85,D85,$E$5:E85,E85))</f>
        <v/>
      </c>
      <c r="K85" s="9" t="str">
        <f t="shared" si="5"/>
        <v/>
      </c>
      <c r="L85" s="12"/>
    </row>
    <row r="86" spans="1:12">
      <c r="A86" s="9" t="str">
        <f t="shared" si="4"/>
        <v/>
      </c>
      <c r="B86" s="21"/>
      <c r="C86" s="12"/>
      <c r="D86" s="12"/>
      <c r="E86" s="12"/>
      <c r="F86" s="12"/>
      <c r="G86" s="12"/>
      <c r="H86" s="12"/>
      <c r="I86" s="12"/>
      <c r="J86" s="9" t="str">
        <f>IF(D86="","",COUNTIFS($D$5:D86,D86,$E$5:E86,E86))</f>
        <v/>
      </c>
      <c r="K86" s="9" t="str">
        <f t="shared" si="5"/>
        <v/>
      </c>
      <c r="L86" s="12"/>
    </row>
    <row r="87" spans="1:12">
      <c r="A87" s="9" t="str">
        <f t="shared" si="4"/>
        <v/>
      </c>
      <c r="B87" s="21"/>
      <c r="C87" s="12"/>
      <c r="D87" s="12"/>
      <c r="E87" s="12"/>
      <c r="F87" s="12"/>
      <c r="G87" s="12"/>
      <c r="H87" s="12"/>
      <c r="I87" s="12"/>
      <c r="J87" s="9" t="str">
        <f>IF(D87="","",COUNTIFS($D$5:D87,D87,$E$5:E87,E87))</f>
        <v/>
      </c>
      <c r="K87" s="9" t="str">
        <f t="shared" si="5"/>
        <v/>
      </c>
      <c r="L87" s="12"/>
    </row>
    <row r="88" spans="1:12">
      <c r="A88" s="9" t="str">
        <f t="shared" si="4"/>
        <v/>
      </c>
      <c r="B88" s="21"/>
      <c r="C88" s="12"/>
      <c r="D88" s="12"/>
      <c r="E88" s="12"/>
      <c r="F88" s="12"/>
      <c r="G88" s="12"/>
      <c r="H88" s="12"/>
      <c r="I88" s="12"/>
      <c r="J88" s="9" t="str">
        <f>IF(D88="","",COUNTIFS($D$5:D88,D88,$E$5:E88,E88))</f>
        <v/>
      </c>
      <c r="K88" s="9" t="str">
        <f t="shared" si="5"/>
        <v/>
      </c>
      <c r="L88" s="12"/>
    </row>
    <row r="89" spans="1:12">
      <c r="A89" s="9" t="str">
        <f t="shared" si="4"/>
        <v/>
      </c>
      <c r="B89" s="21"/>
      <c r="C89" s="12"/>
      <c r="D89" s="12"/>
      <c r="E89" s="12"/>
      <c r="F89" s="12"/>
      <c r="G89" s="12"/>
      <c r="H89" s="12"/>
      <c r="I89" s="12"/>
      <c r="J89" s="9" t="str">
        <f>IF(D89="","",COUNTIFS($D$5:D89,D89,$E$5:E89,E89))</f>
        <v/>
      </c>
      <c r="K89" s="9" t="str">
        <f t="shared" si="5"/>
        <v/>
      </c>
      <c r="L89" s="12"/>
    </row>
    <row r="90" spans="1:12">
      <c r="A90" s="9" t="str">
        <f t="shared" si="4"/>
        <v/>
      </c>
      <c r="B90" s="21"/>
      <c r="C90" s="12"/>
      <c r="D90" s="12"/>
      <c r="E90" s="12"/>
      <c r="F90" s="12"/>
      <c r="G90" s="12"/>
      <c r="H90" s="12"/>
      <c r="I90" s="12"/>
      <c r="J90" s="9" t="str">
        <f>IF(D90="","",COUNTIFS($D$5:D90,D90,$E$5:E90,E90))</f>
        <v/>
      </c>
      <c r="K90" s="9" t="str">
        <f t="shared" si="5"/>
        <v/>
      </c>
      <c r="L90" s="12"/>
    </row>
    <row r="91" spans="1:12">
      <c r="A91" s="9" t="str">
        <f t="shared" si="4"/>
        <v/>
      </c>
      <c r="B91" s="21"/>
      <c r="C91" s="12"/>
      <c r="D91" s="12"/>
      <c r="E91" s="12"/>
      <c r="F91" s="12"/>
      <c r="G91" s="12"/>
      <c r="H91" s="12"/>
      <c r="I91" s="12"/>
      <c r="J91" s="9" t="str">
        <f>IF(D91="","",COUNTIFS($D$5:D91,D91,$E$5:E91,E91))</f>
        <v/>
      </c>
      <c r="K91" s="9" t="str">
        <f t="shared" si="5"/>
        <v/>
      </c>
      <c r="L91" s="12"/>
    </row>
    <row r="92" spans="1:12">
      <c r="A92" s="9" t="str">
        <f t="shared" si="4"/>
        <v/>
      </c>
      <c r="B92" s="21"/>
      <c r="C92" s="12"/>
      <c r="D92" s="12"/>
      <c r="E92" s="12"/>
      <c r="F92" s="12"/>
      <c r="G92" s="12"/>
      <c r="H92" s="12"/>
      <c r="I92" s="12"/>
      <c r="J92" s="9" t="str">
        <f>IF(D92="","",COUNTIFS($D$5:D92,D92,$E$5:E92,E92))</f>
        <v/>
      </c>
      <c r="K92" s="9" t="str">
        <f t="shared" si="5"/>
        <v/>
      </c>
      <c r="L92" s="12"/>
    </row>
    <row r="93" spans="1:12">
      <c r="A93" s="9" t="str">
        <f t="shared" si="4"/>
        <v/>
      </c>
      <c r="B93" s="21"/>
      <c r="C93" s="12"/>
      <c r="D93" s="12"/>
      <c r="E93" s="12"/>
      <c r="F93" s="12"/>
      <c r="G93" s="12"/>
      <c r="H93" s="12"/>
      <c r="I93" s="12"/>
      <c r="J93" s="9" t="str">
        <f>IF(D93="","",COUNTIFS($D$5:D93,D93,$E$5:E93,E93))</f>
        <v/>
      </c>
      <c r="K93" s="9" t="str">
        <f t="shared" si="5"/>
        <v/>
      </c>
      <c r="L93" s="12"/>
    </row>
    <row r="94" spans="1:12">
      <c r="A94" s="9" t="str">
        <f t="shared" si="4"/>
        <v/>
      </c>
      <c r="B94" s="21"/>
      <c r="C94" s="12"/>
      <c r="D94" s="12"/>
      <c r="E94" s="12"/>
      <c r="F94" s="12"/>
      <c r="G94" s="12"/>
      <c r="H94" s="12"/>
      <c r="I94" s="12"/>
      <c r="J94" s="9" t="str">
        <f>IF(D94="","",COUNTIFS($D$5:D94,D94,$E$5:E94,E94))</f>
        <v/>
      </c>
      <c r="K94" s="9" t="str">
        <f t="shared" si="5"/>
        <v/>
      </c>
      <c r="L94" s="12"/>
    </row>
    <row r="95" spans="1:12">
      <c r="A95" s="9" t="str">
        <f t="shared" si="4"/>
        <v/>
      </c>
      <c r="B95" s="21"/>
      <c r="C95" s="12"/>
      <c r="D95" s="12"/>
      <c r="E95" s="12"/>
      <c r="F95" s="12"/>
      <c r="G95" s="12"/>
      <c r="H95" s="12"/>
      <c r="I95" s="12"/>
      <c r="J95" s="9" t="str">
        <f>IF(D95="","",COUNTIFS($D$5:D95,D95,$E$5:E95,E95))</f>
        <v/>
      </c>
      <c r="K95" s="9" t="str">
        <f t="shared" si="5"/>
        <v/>
      </c>
      <c r="L95" s="12"/>
    </row>
    <row r="96" spans="1:12">
      <c r="A96" s="9" t="str">
        <f t="shared" si="4"/>
        <v/>
      </c>
      <c r="B96" s="21"/>
      <c r="C96" s="12"/>
      <c r="D96" s="12"/>
      <c r="E96" s="12"/>
      <c r="F96" s="12"/>
      <c r="G96" s="12"/>
      <c r="H96" s="12"/>
      <c r="I96" s="12"/>
      <c r="J96" s="9" t="str">
        <f>IF(D96="","",COUNTIFS($D$5:D96,D96,$E$5:E96,E96))</f>
        <v/>
      </c>
      <c r="K96" s="9" t="str">
        <f t="shared" si="5"/>
        <v/>
      </c>
      <c r="L96" s="12"/>
    </row>
    <row r="97" spans="1:12">
      <c r="A97" s="9" t="str">
        <f t="shared" si="4"/>
        <v/>
      </c>
      <c r="B97" s="21"/>
      <c r="C97" s="12"/>
      <c r="D97" s="12"/>
      <c r="E97" s="12"/>
      <c r="F97" s="12"/>
      <c r="G97" s="12"/>
      <c r="H97" s="12"/>
      <c r="I97" s="12"/>
      <c r="J97" s="9" t="str">
        <f>IF(D97="","",COUNTIFS($D$5:D97,D97,$E$5:E97,E97))</f>
        <v/>
      </c>
      <c r="K97" s="9" t="str">
        <f t="shared" si="5"/>
        <v/>
      </c>
      <c r="L97" s="12"/>
    </row>
    <row r="98" spans="1:12">
      <c r="A98" s="9" t="str">
        <f t="shared" si="4"/>
        <v/>
      </c>
      <c r="B98" s="21"/>
      <c r="C98" s="12"/>
      <c r="D98" s="12"/>
      <c r="E98" s="12"/>
      <c r="F98" s="12"/>
      <c r="G98" s="12"/>
      <c r="H98" s="12"/>
      <c r="I98" s="12"/>
      <c r="J98" s="9" t="str">
        <f>IF(D98="","",COUNTIFS($D$5:D98,D98,$E$5:E98,E98))</f>
        <v/>
      </c>
      <c r="K98" s="9" t="str">
        <f t="shared" si="5"/>
        <v/>
      </c>
      <c r="L98" s="12"/>
    </row>
    <row r="99" spans="1:12">
      <c r="A99" s="9" t="str">
        <f t="shared" si="4"/>
        <v/>
      </c>
      <c r="B99" s="21"/>
      <c r="C99" s="12"/>
      <c r="D99" s="12"/>
      <c r="E99" s="12"/>
      <c r="F99" s="12"/>
      <c r="G99" s="12"/>
      <c r="H99" s="12"/>
      <c r="I99" s="12"/>
      <c r="J99" s="9" t="str">
        <f>IF(D99="","",COUNTIFS($D$5:D99,D99,$E$5:E99,E99))</f>
        <v/>
      </c>
      <c r="K99" s="9" t="str">
        <f t="shared" si="5"/>
        <v/>
      </c>
      <c r="L99" s="12"/>
    </row>
    <row r="100" spans="1:12">
      <c r="A100" s="9" t="str">
        <f t="shared" si="4"/>
        <v/>
      </c>
      <c r="B100" s="21"/>
      <c r="C100" s="12"/>
      <c r="D100" s="12"/>
      <c r="E100" s="12"/>
      <c r="F100" s="12"/>
      <c r="G100" s="12"/>
      <c r="H100" s="12"/>
      <c r="I100" s="12"/>
      <c r="J100" s="9" t="str">
        <f>IF(D100="","",COUNTIFS($D$5:D100,D100,$E$5:E100,E100))</f>
        <v/>
      </c>
      <c r="K100" s="9" t="str">
        <f t="shared" si="5"/>
        <v/>
      </c>
      <c r="L100" s="12"/>
    </row>
    <row r="101" spans="1:12">
      <c r="A101" s="9" t="str">
        <f t="shared" ref="A101:A132" si="6">IF(B101="","",ROW()-4)</f>
        <v/>
      </c>
      <c r="B101" s="21"/>
      <c r="C101" s="12"/>
      <c r="D101" s="12"/>
      <c r="E101" s="12"/>
      <c r="F101" s="12"/>
      <c r="G101" s="12"/>
      <c r="H101" s="12"/>
      <c r="I101" s="12"/>
      <c r="J101" s="9" t="str">
        <f>IF(D101="","",COUNTIFS($D$5:D101,D101,$E$5:E101,E101))</f>
        <v/>
      </c>
      <c r="K101" s="9" t="str">
        <f t="shared" ref="K101:K132" si="7">IF(J101="","",IF(J101&gt;=3,"是","否"))</f>
        <v/>
      </c>
      <c r="L101" s="12"/>
    </row>
    <row r="102" spans="1:12">
      <c r="A102" s="9" t="str">
        <f t="shared" si="6"/>
        <v/>
      </c>
      <c r="B102" s="21"/>
      <c r="C102" s="12"/>
      <c r="D102" s="12"/>
      <c r="E102" s="12"/>
      <c r="F102" s="12"/>
      <c r="G102" s="12"/>
      <c r="H102" s="12"/>
      <c r="I102" s="12"/>
      <c r="J102" s="9" t="str">
        <f>IF(D102="","",COUNTIFS($D$5:D102,D102,$E$5:E102,E102))</f>
        <v/>
      </c>
      <c r="K102" s="9" t="str">
        <f t="shared" si="7"/>
        <v/>
      </c>
      <c r="L102" s="12"/>
    </row>
    <row r="103" spans="1:12">
      <c r="A103" s="9" t="str">
        <f t="shared" si="6"/>
        <v/>
      </c>
      <c r="B103" s="21"/>
      <c r="C103" s="12"/>
      <c r="D103" s="12"/>
      <c r="E103" s="12"/>
      <c r="F103" s="12"/>
      <c r="G103" s="12"/>
      <c r="H103" s="12"/>
      <c r="I103" s="12"/>
      <c r="J103" s="9" t="str">
        <f>IF(D103="","",COUNTIFS($D$5:D103,D103,$E$5:E103,E103))</f>
        <v/>
      </c>
      <c r="K103" s="9" t="str">
        <f t="shared" si="7"/>
        <v/>
      </c>
      <c r="L103" s="12"/>
    </row>
    <row r="104" spans="1:12">
      <c r="A104" s="9" t="str">
        <f t="shared" si="6"/>
        <v/>
      </c>
      <c r="B104" s="21"/>
      <c r="C104" s="12"/>
      <c r="D104" s="12"/>
      <c r="E104" s="12"/>
      <c r="F104" s="12"/>
      <c r="G104" s="12"/>
      <c r="H104" s="12"/>
      <c r="I104" s="12"/>
      <c r="J104" s="9" t="str">
        <f>IF(D104="","",COUNTIFS($D$5:D104,D104,$E$5:E104,E104))</f>
        <v/>
      </c>
      <c r="K104" s="9" t="str">
        <f t="shared" si="7"/>
        <v/>
      </c>
      <c r="L104" s="12"/>
    </row>
    <row r="105" spans="1:12">
      <c r="A105" s="9" t="str">
        <f t="shared" si="6"/>
        <v/>
      </c>
      <c r="B105" s="21"/>
      <c r="C105" s="12"/>
      <c r="D105" s="12"/>
      <c r="E105" s="12"/>
      <c r="F105" s="12"/>
      <c r="G105" s="12"/>
      <c r="H105" s="12"/>
      <c r="I105" s="12"/>
      <c r="J105" s="9" t="str">
        <f>IF(D105="","",COUNTIFS($D$5:D105,D105,$E$5:E105,E105))</f>
        <v/>
      </c>
      <c r="K105" s="9" t="str">
        <f t="shared" si="7"/>
        <v/>
      </c>
      <c r="L105" s="12"/>
    </row>
    <row r="106" spans="1:12">
      <c r="A106" s="9" t="str">
        <f t="shared" si="6"/>
        <v/>
      </c>
      <c r="B106" s="21"/>
      <c r="C106" s="12"/>
      <c r="D106" s="12"/>
      <c r="E106" s="12"/>
      <c r="F106" s="12"/>
      <c r="G106" s="12"/>
      <c r="H106" s="12"/>
      <c r="I106" s="12"/>
      <c r="J106" s="9" t="str">
        <f>IF(D106="","",COUNTIFS($D$5:D106,D106,$E$5:E106,E106))</f>
        <v/>
      </c>
      <c r="K106" s="9" t="str">
        <f t="shared" si="7"/>
        <v/>
      </c>
      <c r="L106" s="12"/>
    </row>
    <row r="107" spans="1:12">
      <c r="A107" s="9" t="str">
        <f t="shared" si="6"/>
        <v/>
      </c>
      <c r="B107" s="21"/>
      <c r="C107" s="12"/>
      <c r="D107" s="12"/>
      <c r="E107" s="12"/>
      <c r="F107" s="12"/>
      <c r="G107" s="12"/>
      <c r="H107" s="12"/>
      <c r="I107" s="12"/>
      <c r="J107" s="9" t="str">
        <f>IF(D107="","",COUNTIFS($D$5:D107,D107,$E$5:E107,E107))</f>
        <v/>
      </c>
      <c r="K107" s="9" t="str">
        <f t="shared" si="7"/>
        <v/>
      </c>
      <c r="L107" s="12"/>
    </row>
    <row r="108" spans="1:12">
      <c r="A108" s="9" t="str">
        <f t="shared" si="6"/>
        <v/>
      </c>
      <c r="B108" s="21"/>
      <c r="C108" s="12"/>
      <c r="D108" s="12"/>
      <c r="E108" s="12"/>
      <c r="F108" s="12"/>
      <c r="G108" s="12"/>
      <c r="H108" s="12"/>
      <c r="I108" s="12"/>
      <c r="J108" s="9" t="str">
        <f>IF(D108="","",COUNTIFS($D$5:D108,D108,$E$5:E108,E108))</f>
        <v/>
      </c>
      <c r="K108" s="9" t="str">
        <f t="shared" si="7"/>
        <v/>
      </c>
      <c r="L108" s="12"/>
    </row>
    <row r="109" spans="1:12">
      <c r="A109" s="9" t="str">
        <f t="shared" si="6"/>
        <v/>
      </c>
      <c r="B109" s="21"/>
      <c r="C109" s="12"/>
      <c r="D109" s="12"/>
      <c r="E109" s="12"/>
      <c r="F109" s="12"/>
      <c r="G109" s="12"/>
      <c r="H109" s="12"/>
      <c r="I109" s="12"/>
      <c r="J109" s="9" t="str">
        <f>IF(D109="","",COUNTIFS($D$5:D109,D109,$E$5:E109,E109))</f>
        <v/>
      </c>
      <c r="K109" s="9" t="str">
        <f t="shared" si="7"/>
        <v/>
      </c>
      <c r="L109" s="12"/>
    </row>
    <row r="110" spans="1:12">
      <c r="A110" s="9" t="str">
        <f t="shared" si="6"/>
        <v/>
      </c>
      <c r="B110" s="21"/>
      <c r="C110" s="12"/>
      <c r="D110" s="12"/>
      <c r="E110" s="12"/>
      <c r="F110" s="12"/>
      <c r="G110" s="12"/>
      <c r="H110" s="12"/>
      <c r="I110" s="12"/>
      <c r="J110" s="9" t="str">
        <f>IF(D110="","",COUNTIFS($D$5:D110,D110,$E$5:E110,E110))</f>
        <v/>
      </c>
      <c r="K110" s="9" t="str">
        <f t="shared" si="7"/>
        <v/>
      </c>
      <c r="L110" s="12"/>
    </row>
    <row r="111" spans="1:12">
      <c r="A111" s="9" t="str">
        <f t="shared" si="6"/>
        <v/>
      </c>
      <c r="B111" s="21"/>
      <c r="C111" s="12"/>
      <c r="D111" s="12"/>
      <c r="E111" s="12"/>
      <c r="F111" s="12"/>
      <c r="G111" s="12"/>
      <c r="H111" s="12"/>
      <c r="I111" s="12"/>
      <c r="J111" s="9" t="str">
        <f>IF(D111="","",COUNTIFS($D$5:D111,D111,$E$5:E111,E111))</f>
        <v/>
      </c>
      <c r="K111" s="9" t="str">
        <f t="shared" si="7"/>
        <v/>
      </c>
      <c r="L111" s="12"/>
    </row>
    <row r="112" spans="1:12">
      <c r="A112" s="9" t="str">
        <f t="shared" si="6"/>
        <v/>
      </c>
      <c r="B112" s="21"/>
      <c r="C112" s="12"/>
      <c r="D112" s="12"/>
      <c r="E112" s="12"/>
      <c r="F112" s="12"/>
      <c r="G112" s="12"/>
      <c r="H112" s="12"/>
      <c r="I112" s="12"/>
      <c r="J112" s="9" t="str">
        <f>IF(D112="","",COUNTIFS($D$5:D112,D112,$E$5:E112,E112))</f>
        <v/>
      </c>
      <c r="K112" s="9" t="str">
        <f t="shared" si="7"/>
        <v/>
      </c>
      <c r="L112" s="12"/>
    </row>
    <row r="113" spans="1:12">
      <c r="A113" s="9" t="str">
        <f t="shared" si="6"/>
        <v/>
      </c>
      <c r="B113" s="21"/>
      <c r="C113" s="12"/>
      <c r="D113" s="12"/>
      <c r="E113" s="12"/>
      <c r="F113" s="12"/>
      <c r="G113" s="12"/>
      <c r="H113" s="12"/>
      <c r="I113" s="12"/>
      <c r="J113" s="9" t="str">
        <f>IF(D113="","",COUNTIFS($D$5:D113,D113,$E$5:E113,E113))</f>
        <v/>
      </c>
      <c r="K113" s="9" t="str">
        <f t="shared" si="7"/>
        <v/>
      </c>
      <c r="L113" s="12"/>
    </row>
    <row r="114" spans="1:12">
      <c r="A114" s="9" t="str">
        <f t="shared" si="6"/>
        <v/>
      </c>
      <c r="B114" s="21"/>
      <c r="C114" s="12"/>
      <c r="D114" s="12"/>
      <c r="E114" s="12"/>
      <c r="F114" s="12"/>
      <c r="G114" s="12"/>
      <c r="H114" s="12"/>
      <c r="I114" s="12"/>
      <c r="J114" s="9" t="str">
        <f>IF(D114="","",COUNTIFS($D$5:D114,D114,$E$5:E114,E114))</f>
        <v/>
      </c>
      <c r="K114" s="9" t="str">
        <f t="shared" si="7"/>
        <v/>
      </c>
      <c r="L114" s="12"/>
    </row>
    <row r="115" spans="1:12">
      <c r="A115" s="9" t="str">
        <f t="shared" si="6"/>
        <v/>
      </c>
      <c r="B115" s="21"/>
      <c r="C115" s="12"/>
      <c r="D115" s="12"/>
      <c r="E115" s="12"/>
      <c r="F115" s="12"/>
      <c r="G115" s="12"/>
      <c r="H115" s="12"/>
      <c r="I115" s="12"/>
      <c r="J115" s="9" t="str">
        <f>IF(D115="","",COUNTIFS($D$5:D115,D115,$E$5:E115,E115))</f>
        <v/>
      </c>
      <c r="K115" s="9" t="str">
        <f t="shared" si="7"/>
        <v/>
      </c>
      <c r="L115" s="12"/>
    </row>
    <row r="116" spans="1:12">
      <c r="A116" s="9" t="str">
        <f t="shared" si="6"/>
        <v/>
      </c>
      <c r="B116" s="21"/>
      <c r="C116" s="12"/>
      <c r="D116" s="12"/>
      <c r="E116" s="12"/>
      <c r="F116" s="12"/>
      <c r="G116" s="12"/>
      <c r="H116" s="12"/>
      <c r="I116" s="12"/>
      <c r="J116" s="9" t="str">
        <f>IF(D116="","",COUNTIFS($D$5:D116,D116,$E$5:E116,E116))</f>
        <v/>
      </c>
      <c r="K116" s="9" t="str">
        <f t="shared" si="7"/>
        <v/>
      </c>
      <c r="L116" s="12"/>
    </row>
    <row r="117" spans="1:12">
      <c r="A117" s="9" t="str">
        <f t="shared" si="6"/>
        <v/>
      </c>
      <c r="B117" s="21"/>
      <c r="C117" s="12"/>
      <c r="D117" s="12"/>
      <c r="E117" s="12"/>
      <c r="F117" s="12"/>
      <c r="G117" s="12"/>
      <c r="H117" s="12"/>
      <c r="I117" s="12"/>
      <c r="J117" s="9" t="str">
        <f>IF(D117="","",COUNTIFS($D$5:D117,D117,$E$5:E117,E117))</f>
        <v/>
      </c>
      <c r="K117" s="9" t="str">
        <f t="shared" si="7"/>
        <v/>
      </c>
      <c r="L117" s="12"/>
    </row>
    <row r="118" spans="1:12">
      <c r="A118" s="9" t="str">
        <f t="shared" si="6"/>
        <v/>
      </c>
      <c r="B118" s="21"/>
      <c r="C118" s="12"/>
      <c r="D118" s="12"/>
      <c r="E118" s="12"/>
      <c r="F118" s="12"/>
      <c r="G118" s="12"/>
      <c r="H118" s="12"/>
      <c r="I118" s="12"/>
      <c r="J118" s="9" t="str">
        <f>IF(D118="","",COUNTIFS($D$5:D118,D118,$E$5:E118,E118))</f>
        <v/>
      </c>
      <c r="K118" s="9" t="str">
        <f t="shared" si="7"/>
        <v/>
      </c>
      <c r="L118" s="12"/>
    </row>
    <row r="119" spans="1:12">
      <c r="A119" s="9" t="str">
        <f t="shared" si="6"/>
        <v/>
      </c>
      <c r="B119" s="21"/>
      <c r="C119" s="12"/>
      <c r="D119" s="12"/>
      <c r="E119" s="12"/>
      <c r="F119" s="12"/>
      <c r="G119" s="12"/>
      <c r="H119" s="12"/>
      <c r="I119" s="12"/>
      <c r="J119" s="9" t="str">
        <f>IF(D119="","",COUNTIFS($D$5:D119,D119,$E$5:E119,E119))</f>
        <v/>
      </c>
      <c r="K119" s="9" t="str">
        <f t="shared" si="7"/>
        <v/>
      </c>
      <c r="L119" s="12"/>
    </row>
    <row r="120" spans="1:12">
      <c r="A120" s="9" t="str">
        <f t="shared" si="6"/>
        <v/>
      </c>
      <c r="B120" s="21"/>
      <c r="C120" s="12"/>
      <c r="D120" s="12"/>
      <c r="E120" s="12"/>
      <c r="F120" s="12"/>
      <c r="G120" s="12"/>
      <c r="H120" s="12"/>
      <c r="I120" s="12"/>
      <c r="J120" s="9" t="str">
        <f>IF(D120="","",COUNTIFS($D$5:D120,D120,$E$5:E120,E120))</f>
        <v/>
      </c>
      <c r="K120" s="9" t="str">
        <f t="shared" si="7"/>
        <v/>
      </c>
      <c r="L120" s="12"/>
    </row>
    <row r="121" spans="1:12">
      <c r="A121" s="9" t="str">
        <f t="shared" si="6"/>
        <v/>
      </c>
      <c r="B121" s="21"/>
      <c r="C121" s="12"/>
      <c r="D121" s="12"/>
      <c r="E121" s="12"/>
      <c r="F121" s="12"/>
      <c r="G121" s="12"/>
      <c r="H121" s="12"/>
      <c r="I121" s="12"/>
      <c r="J121" s="9" t="str">
        <f>IF(D121="","",COUNTIFS($D$5:D121,D121,$E$5:E121,E121))</f>
        <v/>
      </c>
      <c r="K121" s="9" t="str">
        <f t="shared" si="7"/>
        <v/>
      </c>
      <c r="L121" s="12"/>
    </row>
    <row r="122" spans="1:12">
      <c r="A122" s="9" t="str">
        <f t="shared" si="6"/>
        <v/>
      </c>
      <c r="B122" s="21"/>
      <c r="C122" s="12"/>
      <c r="D122" s="12"/>
      <c r="E122" s="12"/>
      <c r="F122" s="12"/>
      <c r="G122" s="12"/>
      <c r="H122" s="12"/>
      <c r="I122" s="12"/>
      <c r="J122" s="9" t="str">
        <f>IF(D122="","",COUNTIFS($D$5:D122,D122,$E$5:E122,E122))</f>
        <v/>
      </c>
      <c r="K122" s="9" t="str">
        <f t="shared" si="7"/>
        <v/>
      </c>
      <c r="L122" s="12"/>
    </row>
    <row r="123" spans="1:12">
      <c r="A123" s="9" t="str">
        <f t="shared" si="6"/>
        <v/>
      </c>
      <c r="B123" s="21"/>
      <c r="C123" s="12"/>
      <c r="D123" s="12"/>
      <c r="E123" s="12"/>
      <c r="F123" s="12"/>
      <c r="G123" s="12"/>
      <c r="H123" s="12"/>
      <c r="I123" s="12"/>
      <c r="J123" s="9" t="str">
        <f>IF(D123="","",COUNTIFS($D$5:D123,D123,$E$5:E123,E123))</f>
        <v/>
      </c>
      <c r="K123" s="9" t="str">
        <f t="shared" si="7"/>
        <v/>
      </c>
      <c r="L123" s="12"/>
    </row>
    <row r="124" spans="1:12">
      <c r="A124" s="9" t="str">
        <f t="shared" si="6"/>
        <v/>
      </c>
      <c r="B124" s="21"/>
      <c r="C124" s="12"/>
      <c r="D124" s="12"/>
      <c r="E124" s="12"/>
      <c r="F124" s="12"/>
      <c r="G124" s="12"/>
      <c r="H124" s="12"/>
      <c r="I124" s="12"/>
      <c r="J124" s="9" t="str">
        <f>IF(D124="","",COUNTIFS($D$5:D124,D124,$E$5:E124,E124))</f>
        <v/>
      </c>
      <c r="K124" s="9" t="str">
        <f t="shared" si="7"/>
        <v/>
      </c>
      <c r="L124" s="12"/>
    </row>
    <row r="125" spans="1:12">
      <c r="A125" s="9" t="str">
        <f t="shared" si="6"/>
        <v/>
      </c>
      <c r="B125" s="21"/>
      <c r="C125" s="12"/>
      <c r="D125" s="12"/>
      <c r="E125" s="12"/>
      <c r="F125" s="12"/>
      <c r="G125" s="12"/>
      <c r="H125" s="12"/>
      <c r="I125" s="12"/>
      <c r="J125" s="9" t="str">
        <f>IF(D125="","",COUNTIFS($D$5:D125,D125,$E$5:E125,E125))</f>
        <v/>
      </c>
      <c r="K125" s="9" t="str">
        <f t="shared" si="7"/>
        <v/>
      </c>
      <c r="L125" s="12"/>
    </row>
    <row r="126" spans="1:12">
      <c r="A126" s="9" t="str">
        <f t="shared" si="6"/>
        <v/>
      </c>
      <c r="B126" s="21"/>
      <c r="C126" s="12"/>
      <c r="D126" s="12"/>
      <c r="E126" s="12"/>
      <c r="F126" s="12"/>
      <c r="G126" s="12"/>
      <c r="H126" s="12"/>
      <c r="I126" s="12"/>
      <c r="J126" s="9" t="str">
        <f>IF(D126="","",COUNTIFS($D$5:D126,D126,$E$5:E126,E126))</f>
        <v/>
      </c>
      <c r="K126" s="9" t="str">
        <f t="shared" si="7"/>
        <v/>
      </c>
      <c r="L126" s="12"/>
    </row>
    <row r="127" spans="1:12">
      <c r="A127" s="9" t="str">
        <f t="shared" si="6"/>
        <v/>
      </c>
      <c r="B127" s="21"/>
      <c r="C127" s="12"/>
      <c r="D127" s="12"/>
      <c r="E127" s="12"/>
      <c r="F127" s="12"/>
      <c r="G127" s="12"/>
      <c r="H127" s="12"/>
      <c r="I127" s="12"/>
      <c r="J127" s="9" t="str">
        <f>IF(D127="","",COUNTIFS($D$5:D127,D127,$E$5:E127,E127))</f>
        <v/>
      </c>
      <c r="K127" s="9" t="str">
        <f t="shared" si="7"/>
        <v/>
      </c>
      <c r="L127" s="12"/>
    </row>
    <row r="128" spans="1:12">
      <c r="A128" s="9" t="str">
        <f t="shared" si="6"/>
        <v/>
      </c>
      <c r="B128" s="21"/>
      <c r="C128" s="12"/>
      <c r="D128" s="12"/>
      <c r="E128" s="12"/>
      <c r="F128" s="12"/>
      <c r="G128" s="12"/>
      <c r="H128" s="12"/>
      <c r="I128" s="12"/>
      <c r="J128" s="9" t="str">
        <f>IF(D128="","",COUNTIFS($D$5:D128,D128,$E$5:E128,E128))</f>
        <v/>
      </c>
      <c r="K128" s="9" t="str">
        <f t="shared" si="7"/>
        <v/>
      </c>
      <c r="L128" s="12"/>
    </row>
    <row r="129" spans="1:12">
      <c r="A129" s="9" t="str">
        <f t="shared" si="6"/>
        <v/>
      </c>
      <c r="B129" s="21"/>
      <c r="C129" s="12"/>
      <c r="D129" s="12"/>
      <c r="E129" s="12"/>
      <c r="F129" s="12"/>
      <c r="G129" s="12"/>
      <c r="H129" s="12"/>
      <c r="I129" s="12"/>
      <c r="J129" s="9" t="str">
        <f>IF(D129="","",COUNTIFS($D$5:D129,D129,$E$5:E129,E129))</f>
        <v/>
      </c>
      <c r="K129" s="9" t="str">
        <f t="shared" si="7"/>
        <v/>
      </c>
      <c r="L129" s="12"/>
    </row>
    <row r="130" spans="1:12">
      <c r="A130" s="9" t="str">
        <f t="shared" si="6"/>
        <v/>
      </c>
      <c r="B130" s="21"/>
      <c r="C130" s="12"/>
      <c r="D130" s="12"/>
      <c r="E130" s="12"/>
      <c r="F130" s="12"/>
      <c r="G130" s="12"/>
      <c r="H130" s="12"/>
      <c r="I130" s="12"/>
      <c r="J130" s="9" t="str">
        <f>IF(D130="","",COUNTIFS($D$5:D130,D130,$E$5:E130,E130))</f>
        <v/>
      </c>
      <c r="K130" s="9" t="str">
        <f t="shared" si="7"/>
        <v/>
      </c>
      <c r="L130" s="12"/>
    </row>
    <row r="131" spans="1:12">
      <c r="A131" s="9" t="str">
        <f t="shared" si="6"/>
        <v/>
      </c>
      <c r="B131" s="21"/>
      <c r="C131" s="12"/>
      <c r="D131" s="12"/>
      <c r="E131" s="12"/>
      <c r="F131" s="12"/>
      <c r="G131" s="12"/>
      <c r="H131" s="12"/>
      <c r="I131" s="12"/>
      <c r="J131" s="9" t="str">
        <f>IF(D131="","",COUNTIFS($D$5:D131,D131,$E$5:E131,E131))</f>
        <v/>
      </c>
      <c r="K131" s="9" t="str">
        <f t="shared" si="7"/>
        <v/>
      </c>
      <c r="L131" s="12"/>
    </row>
    <row r="132" spans="1:12">
      <c r="A132" s="9" t="str">
        <f t="shared" si="6"/>
        <v/>
      </c>
      <c r="B132" s="21"/>
      <c r="C132" s="12"/>
      <c r="D132" s="12"/>
      <c r="E132" s="12"/>
      <c r="F132" s="12"/>
      <c r="G132" s="12"/>
      <c r="H132" s="12"/>
      <c r="I132" s="12"/>
      <c r="J132" s="9" t="str">
        <f>IF(D132="","",COUNTIFS($D$5:D132,D132,$E$5:E132,E132))</f>
        <v/>
      </c>
      <c r="K132" s="9" t="str">
        <f t="shared" si="7"/>
        <v/>
      </c>
      <c r="L132" s="12"/>
    </row>
    <row r="133" spans="1:12">
      <c r="A133" s="9" t="str">
        <f t="shared" ref="A133:A164" si="8">IF(B133="","",ROW()-4)</f>
        <v/>
      </c>
      <c r="B133" s="21"/>
      <c r="C133" s="12"/>
      <c r="D133" s="12"/>
      <c r="E133" s="12"/>
      <c r="F133" s="12"/>
      <c r="G133" s="12"/>
      <c r="H133" s="12"/>
      <c r="I133" s="12"/>
      <c r="J133" s="9" t="str">
        <f>IF(D133="","",COUNTIFS($D$5:D133,D133,$E$5:E133,E133))</f>
        <v/>
      </c>
      <c r="K133" s="9" t="str">
        <f t="shared" ref="K133:K164" si="9">IF(J133="","",IF(J133&gt;=3,"是","否"))</f>
        <v/>
      </c>
      <c r="L133" s="12"/>
    </row>
    <row r="134" spans="1:12">
      <c r="A134" s="9" t="str">
        <f t="shared" si="8"/>
        <v/>
      </c>
      <c r="B134" s="21"/>
      <c r="C134" s="12"/>
      <c r="D134" s="12"/>
      <c r="E134" s="12"/>
      <c r="F134" s="12"/>
      <c r="G134" s="12"/>
      <c r="H134" s="12"/>
      <c r="I134" s="12"/>
      <c r="J134" s="9" t="str">
        <f>IF(D134="","",COUNTIFS($D$5:D134,D134,$E$5:E134,E134))</f>
        <v/>
      </c>
      <c r="K134" s="9" t="str">
        <f t="shared" si="9"/>
        <v/>
      </c>
      <c r="L134" s="12"/>
    </row>
    <row r="135" spans="1:12">
      <c r="A135" s="9" t="str">
        <f t="shared" si="8"/>
        <v/>
      </c>
      <c r="B135" s="21"/>
      <c r="C135" s="12"/>
      <c r="D135" s="12"/>
      <c r="E135" s="12"/>
      <c r="F135" s="12"/>
      <c r="G135" s="12"/>
      <c r="H135" s="12"/>
      <c r="I135" s="12"/>
      <c r="J135" s="9" t="str">
        <f>IF(D135="","",COUNTIFS($D$5:D135,D135,$E$5:E135,E135))</f>
        <v/>
      </c>
      <c r="K135" s="9" t="str">
        <f t="shared" si="9"/>
        <v/>
      </c>
      <c r="L135" s="12"/>
    </row>
    <row r="136" spans="1:12">
      <c r="A136" s="9" t="str">
        <f t="shared" si="8"/>
        <v/>
      </c>
      <c r="B136" s="21"/>
      <c r="C136" s="12"/>
      <c r="D136" s="12"/>
      <c r="E136" s="12"/>
      <c r="F136" s="12"/>
      <c r="G136" s="12"/>
      <c r="H136" s="12"/>
      <c r="I136" s="12"/>
      <c r="J136" s="9" t="str">
        <f>IF(D136="","",COUNTIFS($D$5:D136,D136,$E$5:E136,E136))</f>
        <v/>
      </c>
      <c r="K136" s="9" t="str">
        <f t="shared" si="9"/>
        <v/>
      </c>
      <c r="L136" s="12"/>
    </row>
    <row r="137" spans="1:12">
      <c r="A137" s="9" t="str">
        <f t="shared" si="8"/>
        <v/>
      </c>
      <c r="B137" s="21"/>
      <c r="C137" s="12"/>
      <c r="D137" s="12"/>
      <c r="E137" s="12"/>
      <c r="F137" s="12"/>
      <c r="G137" s="12"/>
      <c r="H137" s="12"/>
      <c r="I137" s="12"/>
      <c r="J137" s="9" t="str">
        <f>IF(D137="","",COUNTIFS($D$5:D137,D137,$E$5:E137,E137))</f>
        <v/>
      </c>
      <c r="K137" s="9" t="str">
        <f t="shared" si="9"/>
        <v/>
      </c>
      <c r="L137" s="12"/>
    </row>
    <row r="138" spans="1:12">
      <c r="A138" s="9" t="str">
        <f t="shared" si="8"/>
        <v/>
      </c>
      <c r="B138" s="21"/>
      <c r="C138" s="12"/>
      <c r="D138" s="12"/>
      <c r="E138" s="12"/>
      <c r="F138" s="12"/>
      <c r="G138" s="12"/>
      <c r="H138" s="12"/>
      <c r="I138" s="12"/>
      <c r="J138" s="9" t="str">
        <f>IF(D138="","",COUNTIFS($D$5:D138,D138,$E$5:E138,E138))</f>
        <v/>
      </c>
      <c r="K138" s="9" t="str">
        <f t="shared" si="9"/>
        <v/>
      </c>
      <c r="L138" s="12"/>
    </row>
    <row r="139" spans="1:12">
      <c r="A139" s="9" t="str">
        <f t="shared" si="8"/>
        <v/>
      </c>
      <c r="B139" s="21"/>
      <c r="C139" s="12"/>
      <c r="D139" s="12"/>
      <c r="E139" s="12"/>
      <c r="F139" s="12"/>
      <c r="G139" s="12"/>
      <c r="H139" s="12"/>
      <c r="I139" s="12"/>
      <c r="J139" s="9" t="str">
        <f>IF(D139="","",COUNTIFS($D$5:D139,D139,$E$5:E139,E139))</f>
        <v/>
      </c>
      <c r="K139" s="9" t="str">
        <f t="shared" si="9"/>
        <v/>
      </c>
      <c r="L139" s="12"/>
    </row>
    <row r="140" spans="1:12">
      <c r="A140" s="9" t="str">
        <f t="shared" si="8"/>
        <v/>
      </c>
      <c r="B140" s="21"/>
      <c r="C140" s="12"/>
      <c r="D140" s="12"/>
      <c r="E140" s="12"/>
      <c r="F140" s="12"/>
      <c r="G140" s="12"/>
      <c r="H140" s="12"/>
      <c r="I140" s="12"/>
      <c r="J140" s="9" t="str">
        <f>IF(D140="","",COUNTIFS($D$5:D140,D140,$E$5:E140,E140))</f>
        <v/>
      </c>
      <c r="K140" s="9" t="str">
        <f t="shared" si="9"/>
        <v/>
      </c>
      <c r="L140" s="12"/>
    </row>
    <row r="141" spans="1:12">
      <c r="A141" s="9" t="str">
        <f t="shared" si="8"/>
        <v/>
      </c>
      <c r="B141" s="21"/>
      <c r="C141" s="12"/>
      <c r="D141" s="12"/>
      <c r="E141" s="12"/>
      <c r="F141" s="12"/>
      <c r="G141" s="12"/>
      <c r="H141" s="12"/>
      <c r="I141" s="12"/>
      <c r="J141" s="9" t="str">
        <f>IF(D141="","",COUNTIFS($D$5:D141,D141,$E$5:E141,E141))</f>
        <v/>
      </c>
      <c r="K141" s="9" t="str">
        <f t="shared" si="9"/>
        <v/>
      </c>
      <c r="L141" s="12"/>
    </row>
    <row r="142" spans="1:12">
      <c r="A142" s="9" t="str">
        <f t="shared" si="8"/>
        <v/>
      </c>
      <c r="B142" s="21"/>
      <c r="C142" s="12"/>
      <c r="D142" s="12"/>
      <c r="E142" s="12"/>
      <c r="F142" s="12"/>
      <c r="G142" s="12"/>
      <c r="H142" s="12"/>
      <c r="I142" s="12"/>
      <c r="J142" s="9" t="str">
        <f>IF(D142="","",COUNTIFS($D$5:D142,D142,$E$5:E142,E142))</f>
        <v/>
      </c>
      <c r="K142" s="9" t="str">
        <f t="shared" si="9"/>
        <v/>
      </c>
      <c r="L142" s="12"/>
    </row>
    <row r="143" spans="1:12">
      <c r="A143" s="9" t="str">
        <f t="shared" si="8"/>
        <v/>
      </c>
      <c r="B143" s="21"/>
      <c r="C143" s="12"/>
      <c r="D143" s="12"/>
      <c r="E143" s="12"/>
      <c r="F143" s="12"/>
      <c r="G143" s="12"/>
      <c r="H143" s="12"/>
      <c r="I143" s="12"/>
      <c r="J143" s="9" t="str">
        <f>IF(D143="","",COUNTIFS($D$5:D143,D143,$E$5:E143,E143))</f>
        <v/>
      </c>
      <c r="K143" s="9" t="str">
        <f t="shared" si="9"/>
        <v/>
      </c>
      <c r="L143" s="12"/>
    </row>
    <row r="144" spans="1:12">
      <c r="A144" s="9" t="str">
        <f t="shared" si="8"/>
        <v/>
      </c>
      <c r="B144" s="21"/>
      <c r="C144" s="12"/>
      <c r="D144" s="12"/>
      <c r="E144" s="12"/>
      <c r="F144" s="12"/>
      <c r="G144" s="12"/>
      <c r="H144" s="12"/>
      <c r="I144" s="12"/>
      <c r="J144" s="9" t="str">
        <f>IF(D144="","",COUNTIFS($D$5:D144,D144,$E$5:E144,E144))</f>
        <v/>
      </c>
      <c r="K144" s="9" t="str">
        <f t="shared" si="9"/>
        <v/>
      </c>
      <c r="L144" s="12"/>
    </row>
    <row r="145" spans="1:12">
      <c r="A145" s="9" t="str">
        <f t="shared" si="8"/>
        <v/>
      </c>
      <c r="B145" s="21"/>
      <c r="C145" s="12"/>
      <c r="D145" s="12"/>
      <c r="E145" s="12"/>
      <c r="F145" s="12"/>
      <c r="G145" s="12"/>
      <c r="H145" s="12"/>
      <c r="I145" s="12"/>
      <c r="J145" s="9" t="str">
        <f>IF(D145="","",COUNTIFS($D$5:D145,D145,$E$5:E145,E145))</f>
        <v/>
      </c>
      <c r="K145" s="9" t="str">
        <f t="shared" si="9"/>
        <v/>
      </c>
      <c r="L145" s="12"/>
    </row>
    <row r="146" spans="1:12">
      <c r="A146" s="9" t="str">
        <f t="shared" si="8"/>
        <v/>
      </c>
      <c r="B146" s="21"/>
      <c r="C146" s="12"/>
      <c r="D146" s="12"/>
      <c r="E146" s="12"/>
      <c r="F146" s="12"/>
      <c r="G146" s="12"/>
      <c r="H146" s="12"/>
      <c r="I146" s="12"/>
      <c r="J146" s="9" t="str">
        <f>IF(D146="","",COUNTIFS($D$5:D146,D146,$E$5:E146,E146))</f>
        <v/>
      </c>
      <c r="K146" s="9" t="str">
        <f t="shared" si="9"/>
        <v/>
      </c>
      <c r="L146" s="12"/>
    </row>
    <row r="147" spans="1:12">
      <c r="A147" s="9" t="str">
        <f t="shared" si="8"/>
        <v/>
      </c>
      <c r="B147" s="21"/>
      <c r="C147" s="12"/>
      <c r="D147" s="12"/>
      <c r="E147" s="12"/>
      <c r="F147" s="12"/>
      <c r="G147" s="12"/>
      <c r="H147" s="12"/>
      <c r="I147" s="12"/>
      <c r="J147" s="9" t="str">
        <f>IF(D147="","",COUNTIFS($D$5:D147,D147,$E$5:E147,E147))</f>
        <v/>
      </c>
      <c r="K147" s="9" t="str">
        <f t="shared" si="9"/>
        <v/>
      </c>
      <c r="L147" s="12"/>
    </row>
    <row r="148" spans="1:12">
      <c r="A148" s="9" t="str">
        <f t="shared" si="8"/>
        <v/>
      </c>
      <c r="B148" s="21"/>
      <c r="C148" s="12"/>
      <c r="D148" s="12"/>
      <c r="E148" s="12"/>
      <c r="F148" s="12"/>
      <c r="G148" s="12"/>
      <c r="H148" s="12"/>
      <c r="I148" s="12"/>
      <c r="J148" s="9" t="str">
        <f>IF(D148="","",COUNTIFS($D$5:D148,D148,$E$5:E148,E148))</f>
        <v/>
      </c>
      <c r="K148" s="9" t="str">
        <f t="shared" si="9"/>
        <v/>
      </c>
      <c r="L148" s="12"/>
    </row>
    <row r="149" spans="1:12">
      <c r="A149" s="9" t="str">
        <f t="shared" si="8"/>
        <v/>
      </c>
      <c r="B149" s="21"/>
      <c r="C149" s="12"/>
      <c r="D149" s="12"/>
      <c r="E149" s="12"/>
      <c r="F149" s="12"/>
      <c r="G149" s="12"/>
      <c r="H149" s="12"/>
      <c r="I149" s="12"/>
      <c r="J149" s="9" t="str">
        <f>IF(D149="","",COUNTIFS($D$5:D149,D149,$E$5:E149,E149))</f>
        <v/>
      </c>
      <c r="K149" s="9" t="str">
        <f t="shared" si="9"/>
        <v/>
      </c>
      <c r="L149" s="12"/>
    </row>
    <row r="150" spans="1:12">
      <c r="A150" s="9" t="str">
        <f t="shared" si="8"/>
        <v/>
      </c>
      <c r="B150" s="21"/>
      <c r="C150" s="12"/>
      <c r="D150" s="12"/>
      <c r="E150" s="12"/>
      <c r="F150" s="12"/>
      <c r="G150" s="12"/>
      <c r="H150" s="12"/>
      <c r="I150" s="12"/>
      <c r="J150" s="9" t="str">
        <f>IF(D150="","",COUNTIFS($D$5:D150,D150,$E$5:E150,E150))</f>
        <v/>
      </c>
      <c r="K150" s="9" t="str">
        <f t="shared" si="9"/>
        <v/>
      </c>
      <c r="L150" s="12"/>
    </row>
    <row r="151" spans="1:12">
      <c r="A151" s="9" t="str">
        <f t="shared" si="8"/>
        <v/>
      </c>
      <c r="B151" s="21"/>
      <c r="C151" s="12"/>
      <c r="D151" s="12"/>
      <c r="E151" s="12"/>
      <c r="F151" s="12"/>
      <c r="G151" s="12"/>
      <c r="H151" s="12"/>
      <c r="I151" s="12"/>
      <c r="J151" s="9" t="str">
        <f>IF(D151="","",COUNTIFS($D$5:D151,D151,$E$5:E151,E151))</f>
        <v/>
      </c>
      <c r="K151" s="9" t="str">
        <f t="shared" si="9"/>
        <v/>
      </c>
      <c r="L151" s="12"/>
    </row>
    <row r="152" spans="1:12">
      <c r="A152" s="9" t="str">
        <f t="shared" si="8"/>
        <v/>
      </c>
      <c r="B152" s="21"/>
      <c r="C152" s="12"/>
      <c r="D152" s="12"/>
      <c r="E152" s="12"/>
      <c r="F152" s="12"/>
      <c r="G152" s="12"/>
      <c r="H152" s="12"/>
      <c r="I152" s="12"/>
      <c r="J152" s="9" t="str">
        <f>IF(D152="","",COUNTIFS($D$5:D152,D152,$E$5:E152,E152))</f>
        <v/>
      </c>
      <c r="K152" s="9" t="str">
        <f t="shared" si="9"/>
        <v/>
      </c>
      <c r="L152" s="12"/>
    </row>
    <row r="153" spans="1:12">
      <c r="A153" s="9" t="str">
        <f t="shared" si="8"/>
        <v/>
      </c>
      <c r="B153" s="21"/>
      <c r="C153" s="12"/>
      <c r="D153" s="12"/>
      <c r="E153" s="12"/>
      <c r="F153" s="12"/>
      <c r="G153" s="12"/>
      <c r="H153" s="12"/>
      <c r="I153" s="12"/>
      <c r="J153" s="9" t="str">
        <f>IF(D153="","",COUNTIFS($D$5:D153,D153,$E$5:E153,E153))</f>
        <v/>
      </c>
      <c r="K153" s="9" t="str">
        <f t="shared" si="9"/>
        <v/>
      </c>
      <c r="L153" s="12"/>
    </row>
    <row r="154" spans="1:12">
      <c r="A154" s="9" t="str">
        <f t="shared" si="8"/>
        <v/>
      </c>
      <c r="B154" s="21"/>
      <c r="C154" s="12"/>
      <c r="D154" s="12"/>
      <c r="E154" s="12"/>
      <c r="F154" s="12"/>
      <c r="G154" s="12"/>
      <c r="H154" s="12"/>
      <c r="I154" s="12"/>
      <c r="J154" s="9" t="str">
        <f>IF(D154="","",COUNTIFS($D$5:D154,D154,$E$5:E154,E154))</f>
        <v/>
      </c>
      <c r="K154" s="9" t="str">
        <f t="shared" si="9"/>
        <v/>
      </c>
      <c r="L154" s="12"/>
    </row>
    <row r="155" spans="1:12">
      <c r="A155" s="9" t="str">
        <f t="shared" si="8"/>
        <v/>
      </c>
      <c r="B155" s="21"/>
      <c r="C155" s="12"/>
      <c r="D155" s="12"/>
      <c r="E155" s="12"/>
      <c r="F155" s="12"/>
      <c r="G155" s="12"/>
      <c r="H155" s="12"/>
      <c r="I155" s="12"/>
      <c r="J155" s="9" t="str">
        <f>IF(D155="","",COUNTIFS($D$5:D155,D155,$E$5:E155,E155))</f>
        <v/>
      </c>
      <c r="K155" s="9" t="str">
        <f t="shared" si="9"/>
        <v/>
      </c>
      <c r="L155" s="12"/>
    </row>
    <row r="156" spans="1:12">
      <c r="A156" s="9" t="str">
        <f t="shared" si="8"/>
        <v/>
      </c>
      <c r="B156" s="21"/>
      <c r="C156" s="12"/>
      <c r="D156" s="12"/>
      <c r="E156" s="12"/>
      <c r="F156" s="12"/>
      <c r="G156" s="12"/>
      <c r="H156" s="12"/>
      <c r="I156" s="12"/>
      <c r="J156" s="9" t="str">
        <f>IF(D156="","",COUNTIFS($D$5:D156,D156,$E$5:E156,E156))</f>
        <v/>
      </c>
      <c r="K156" s="9" t="str">
        <f t="shared" si="9"/>
        <v/>
      </c>
      <c r="L156" s="12"/>
    </row>
    <row r="157" spans="1:12">
      <c r="A157" s="9" t="str">
        <f t="shared" si="8"/>
        <v/>
      </c>
      <c r="B157" s="21"/>
      <c r="C157" s="12"/>
      <c r="D157" s="12"/>
      <c r="E157" s="12"/>
      <c r="F157" s="12"/>
      <c r="G157" s="12"/>
      <c r="H157" s="12"/>
      <c r="I157" s="12"/>
      <c r="J157" s="9" t="str">
        <f>IF(D157="","",COUNTIFS($D$5:D157,D157,$E$5:E157,E157))</f>
        <v/>
      </c>
      <c r="K157" s="9" t="str">
        <f t="shared" si="9"/>
        <v/>
      </c>
      <c r="L157" s="12"/>
    </row>
    <row r="158" spans="1:12">
      <c r="A158" s="9" t="str">
        <f t="shared" si="8"/>
        <v/>
      </c>
      <c r="B158" s="21"/>
      <c r="C158" s="12"/>
      <c r="D158" s="12"/>
      <c r="E158" s="12"/>
      <c r="F158" s="12"/>
      <c r="G158" s="12"/>
      <c r="H158" s="12"/>
      <c r="I158" s="12"/>
      <c r="J158" s="9" t="str">
        <f>IF(D158="","",COUNTIFS($D$5:D158,D158,$E$5:E158,E158))</f>
        <v/>
      </c>
      <c r="K158" s="9" t="str">
        <f t="shared" si="9"/>
        <v/>
      </c>
      <c r="L158" s="12"/>
    </row>
    <row r="159" spans="1:12">
      <c r="A159" s="9" t="str">
        <f t="shared" si="8"/>
        <v/>
      </c>
      <c r="B159" s="21"/>
      <c r="C159" s="12"/>
      <c r="D159" s="12"/>
      <c r="E159" s="12"/>
      <c r="F159" s="12"/>
      <c r="G159" s="12"/>
      <c r="H159" s="12"/>
      <c r="I159" s="12"/>
      <c r="J159" s="9" t="str">
        <f>IF(D159="","",COUNTIFS($D$5:D159,D159,$E$5:E159,E159))</f>
        <v/>
      </c>
      <c r="K159" s="9" t="str">
        <f t="shared" si="9"/>
        <v/>
      </c>
      <c r="L159" s="12"/>
    </row>
    <row r="160" spans="1:12">
      <c r="A160" s="9" t="str">
        <f t="shared" si="8"/>
        <v/>
      </c>
      <c r="B160" s="21"/>
      <c r="C160" s="12"/>
      <c r="D160" s="12"/>
      <c r="E160" s="12"/>
      <c r="F160" s="12"/>
      <c r="G160" s="12"/>
      <c r="H160" s="12"/>
      <c r="I160" s="12"/>
      <c r="J160" s="9" t="str">
        <f>IF(D160="","",COUNTIFS($D$5:D160,D160,$E$5:E160,E160))</f>
        <v/>
      </c>
      <c r="K160" s="9" t="str">
        <f t="shared" si="9"/>
        <v/>
      </c>
      <c r="L160" s="12"/>
    </row>
    <row r="161" spans="1:12">
      <c r="A161" s="9" t="str">
        <f t="shared" si="8"/>
        <v/>
      </c>
      <c r="B161" s="21"/>
      <c r="C161" s="12"/>
      <c r="D161" s="12"/>
      <c r="E161" s="12"/>
      <c r="F161" s="12"/>
      <c r="G161" s="12"/>
      <c r="H161" s="12"/>
      <c r="I161" s="12"/>
      <c r="J161" s="9" t="str">
        <f>IF(D161="","",COUNTIFS($D$5:D161,D161,$E$5:E161,E161))</f>
        <v/>
      </c>
      <c r="K161" s="9" t="str">
        <f t="shared" si="9"/>
        <v/>
      </c>
      <c r="L161" s="12"/>
    </row>
    <row r="162" spans="1:12">
      <c r="A162" s="9" t="str">
        <f t="shared" si="8"/>
        <v/>
      </c>
      <c r="B162" s="21"/>
      <c r="C162" s="12"/>
      <c r="D162" s="12"/>
      <c r="E162" s="12"/>
      <c r="F162" s="12"/>
      <c r="G162" s="12"/>
      <c r="H162" s="12"/>
      <c r="I162" s="12"/>
      <c r="J162" s="9" t="str">
        <f>IF(D162="","",COUNTIFS($D$5:D162,D162,$E$5:E162,E162))</f>
        <v/>
      </c>
      <c r="K162" s="9" t="str">
        <f t="shared" si="9"/>
        <v/>
      </c>
      <c r="L162" s="12"/>
    </row>
    <row r="163" spans="1:12">
      <c r="A163" s="9" t="str">
        <f t="shared" si="8"/>
        <v/>
      </c>
      <c r="B163" s="21"/>
      <c r="C163" s="12"/>
      <c r="D163" s="12"/>
      <c r="E163" s="12"/>
      <c r="F163" s="12"/>
      <c r="G163" s="12"/>
      <c r="H163" s="12"/>
      <c r="I163" s="12"/>
      <c r="J163" s="9" t="str">
        <f>IF(D163="","",COUNTIFS($D$5:D163,D163,$E$5:E163,E163))</f>
        <v/>
      </c>
      <c r="K163" s="9" t="str">
        <f t="shared" si="9"/>
        <v/>
      </c>
      <c r="L163" s="12"/>
    </row>
    <row r="164" spans="1:12">
      <c r="A164" s="9" t="str">
        <f t="shared" si="8"/>
        <v/>
      </c>
      <c r="B164" s="21"/>
      <c r="C164" s="12"/>
      <c r="D164" s="12"/>
      <c r="E164" s="12"/>
      <c r="F164" s="12"/>
      <c r="G164" s="12"/>
      <c r="H164" s="12"/>
      <c r="I164" s="12"/>
      <c r="J164" s="9" t="str">
        <f>IF(D164="","",COUNTIFS($D$5:D164,D164,$E$5:E164,E164))</f>
        <v/>
      </c>
      <c r="K164" s="9" t="str">
        <f t="shared" si="9"/>
        <v/>
      </c>
      <c r="L164" s="12"/>
    </row>
    <row r="165" spans="1:12">
      <c r="A165" s="9" t="str">
        <f t="shared" ref="A165:A196" si="10">IF(B165="","",ROW()-4)</f>
        <v/>
      </c>
      <c r="B165" s="21"/>
      <c r="C165" s="12"/>
      <c r="D165" s="12"/>
      <c r="E165" s="12"/>
      <c r="F165" s="12"/>
      <c r="G165" s="12"/>
      <c r="H165" s="12"/>
      <c r="I165" s="12"/>
      <c r="J165" s="9" t="str">
        <f>IF(D165="","",COUNTIFS($D$5:D165,D165,$E$5:E165,E165))</f>
        <v/>
      </c>
      <c r="K165" s="9" t="str">
        <f t="shared" ref="K165:K196" si="11">IF(J165="","",IF(J165&gt;=3,"是","否"))</f>
        <v/>
      </c>
      <c r="L165" s="12"/>
    </row>
    <row r="166" spans="1:12">
      <c r="A166" s="9" t="str">
        <f t="shared" si="10"/>
        <v/>
      </c>
      <c r="B166" s="21"/>
      <c r="C166" s="12"/>
      <c r="D166" s="12"/>
      <c r="E166" s="12"/>
      <c r="F166" s="12"/>
      <c r="G166" s="12"/>
      <c r="H166" s="12"/>
      <c r="I166" s="12"/>
      <c r="J166" s="9" t="str">
        <f>IF(D166="","",COUNTIFS($D$5:D166,D166,$E$5:E166,E166))</f>
        <v/>
      </c>
      <c r="K166" s="9" t="str">
        <f t="shared" si="11"/>
        <v/>
      </c>
      <c r="L166" s="12"/>
    </row>
    <row r="167" spans="1:12">
      <c r="A167" s="9" t="str">
        <f t="shared" si="10"/>
        <v/>
      </c>
      <c r="B167" s="21"/>
      <c r="C167" s="12"/>
      <c r="D167" s="12"/>
      <c r="E167" s="12"/>
      <c r="F167" s="12"/>
      <c r="G167" s="12"/>
      <c r="H167" s="12"/>
      <c r="I167" s="12"/>
      <c r="J167" s="9" t="str">
        <f>IF(D167="","",COUNTIFS($D$5:D167,D167,$E$5:E167,E167))</f>
        <v/>
      </c>
      <c r="K167" s="9" t="str">
        <f t="shared" si="11"/>
        <v/>
      </c>
      <c r="L167" s="12"/>
    </row>
    <row r="168" spans="1:12">
      <c r="A168" s="9" t="str">
        <f t="shared" si="10"/>
        <v/>
      </c>
      <c r="B168" s="21"/>
      <c r="C168" s="12"/>
      <c r="D168" s="12"/>
      <c r="E168" s="12"/>
      <c r="F168" s="12"/>
      <c r="G168" s="12"/>
      <c r="H168" s="12"/>
      <c r="I168" s="12"/>
      <c r="J168" s="9" t="str">
        <f>IF(D168="","",COUNTIFS($D$5:D168,D168,$E$5:E168,E168))</f>
        <v/>
      </c>
      <c r="K168" s="9" t="str">
        <f t="shared" si="11"/>
        <v/>
      </c>
      <c r="L168" s="12"/>
    </row>
    <row r="169" spans="1:12">
      <c r="A169" s="9" t="str">
        <f t="shared" si="10"/>
        <v/>
      </c>
      <c r="B169" s="21"/>
      <c r="C169" s="12"/>
      <c r="D169" s="12"/>
      <c r="E169" s="12"/>
      <c r="F169" s="12"/>
      <c r="G169" s="12"/>
      <c r="H169" s="12"/>
      <c r="I169" s="12"/>
      <c r="J169" s="9" t="str">
        <f>IF(D169="","",COUNTIFS($D$5:D169,D169,$E$5:E169,E169))</f>
        <v/>
      </c>
      <c r="K169" s="9" t="str">
        <f t="shared" si="11"/>
        <v/>
      </c>
      <c r="L169" s="12"/>
    </row>
    <row r="170" spans="1:12">
      <c r="A170" s="9" t="str">
        <f t="shared" si="10"/>
        <v/>
      </c>
      <c r="B170" s="21"/>
      <c r="C170" s="12"/>
      <c r="D170" s="12"/>
      <c r="E170" s="12"/>
      <c r="F170" s="12"/>
      <c r="G170" s="12"/>
      <c r="H170" s="12"/>
      <c r="I170" s="12"/>
      <c r="J170" s="9" t="str">
        <f>IF(D170="","",COUNTIFS($D$5:D170,D170,$E$5:E170,E170))</f>
        <v/>
      </c>
      <c r="K170" s="9" t="str">
        <f t="shared" si="11"/>
        <v/>
      </c>
      <c r="L170" s="12"/>
    </row>
    <row r="171" spans="1:12">
      <c r="A171" s="9" t="str">
        <f t="shared" si="10"/>
        <v/>
      </c>
      <c r="B171" s="21"/>
      <c r="C171" s="12"/>
      <c r="D171" s="12"/>
      <c r="E171" s="12"/>
      <c r="F171" s="12"/>
      <c r="G171" s="12"/>
      <c r="H171" s="12"/>
      <c r="I171" s="12"/>
      <c r="J171" s="9" t="str">
        <f>IF(D171="","",COUNTIFS($D$5:D171,D171,$E$5:E171,E171))</f>
        <v/>
      </c>
      <c r="K171" s="9" t="str">
        <f t="shared" si="11"/>
        <v/>
      </c>
      <c r="L171" s="12"/>
    </row>
    <row r="172" spans="1:12">
      <c r="A172" s="9" t="str">
        <f t="shared" si="10"/>
        <v/>
      </c>
      <c r="B172" s="21"/>
      <c r="C172" s="12"/>
      <c r="D172" s="12"/>
      <c r="E172" s="12"/>
      <c r="F172" s="12"/>
      <c r="G172" s="12"/>
      <c r="H172" s="12"/>
      <c r="I172" s="12"/>
      <c r="J172" s="9" t="str">
        <f>IF(D172="","",COUNTIFS($D$5:D172,D172,$E$5:E172,E172))</f>
        <v/>
      </c>
      <c r="K172" s="9" t="str">
        <f t="shared" si="11"/>
        <v/>
      </c>
      <c r="L172" s="12"/>
    </row>
    <row r="173" spans="1:12">
      <c r="A173" s="9" t="str">
        <f t="shared" si="10"/>
        <v/>
      </c>
      <c r="B173" s="21"/>
      <c r="C173" s="12"/>
      <c r="D173" s="12"/>
      <c r="E173" s="12"/>
      <c r="F173" s="12"/>
      <c r="G173" s="12"/>
      <c r="H173" s="12"/>
      <c r="I173" s="12"/>
      <c r="J173" s="9" t="str">
        <f>IF(D173="","",COUNTIFS($D$5:D173,D173,$E$5:E173,E173))</f>
        <v/>
      </c>
      <c r="K173" s="9" t="str">
        <f t="shared" si="11"/>
        <v/>
      </c>
      <c r="L173" s="12"/>
    </row>
    <row r="174" spans="1:12">
      <c r="A174" s="9" t="str">
        <f t="shared" si="10"/>
        <v/>
      </c>
      <c r="B174" s="21"/>
      <c r="C174" s="12"/>
      <c r="D174" s="12"/>
      <c r="E174" s="12"/>
      <c r="F174" s="12"/>
      <c r="G174" s="12"/>
      <c r="H174" s="12"/>
      <c r="I174" s="12"/>
      <c r="J174" s="9" t="str">
        <f>IF(D174="","",COUNTIFS($D$5:D174,D174,$E$5:E174,E174))</f>
        <v/>
      </c>
      <c r="K174" s="9" t="str">
        <f t="shared" si="11"/>
        <v/>
      </c>
      <c r="L174" s="12"/>
    </row>
    <row r="175" spans="1:12">
      <c r="A175" s="9" t="str">
        <f t="shared" si="10"/>
        <v/>
      </c>
      <c r="B175" s="21"/>
      <c r="C175" s="12"/>
      <c r="D175" s="12"/>
      <c r="E175" s="12"/>
      <c r="F175" s="12"/>
      <c r="G175" s="12"/>
      <c r="H175" s="12"/>
      <c r="I175" s="12"/>
      <c r="J175" s="9" t="str">
        <f>IF(D175="","",COUNTIFS($D$5:D175,D175,$E$5:E175,E175))</f>
        <v/>
      </c>
      <c r="K175" s="9" t="str">
        <f t="shared" si="11"/>
        <v/>
      </c>
      <c r="L175" s="12"/>
    </row>
    <row r="176" spans="1:12">
      <c r="A176" s="9" t="str">
        <f t="shared" si="10"/>
        <v/>
      </c>
      <c r="B176" s="21"/>
      <c r="C176" s="12"/>
      <c r="D176" s="12"/>
      <c r="E176" s="12"/>
      <c r="F176" s="12"/>
      <c r="G176" s="12"/>
      <c r="H176" s="12"/>
      <c r="I176" s="12"/>
      <c r="J176" s="9" t="str">
        <f>IF(D176="","",COUNTIFS($D$5:D176,D176,$E$5:E176,E176))</f>
        <v/>
      </c>
      <c r="K176" s="9" t="str">
        <f t="shared" si="11"/>
        <v/>
      </c>
      <c r="L176" s="12"/>
    </row>
    <row r="177" spans="1:12">
      <c r="A177" s="9" t="str">
        <f t="shared" si="10"/>
        <v/>
      </c>
      <c r="B177" s="21"/>
      <c r="C177" s="12"/>
      <c r="D177" s="12"/>
      <c r="E177" s="12"/>
      <c r="F177" s="12"/>
      <c r="G177" s="12"/>
      <c r="H177" s="12"/>
      <c r="I177" s="12"/>
      <c r="J177" s="9" t="str">
        <f>IF(D177="","",COUNTIFS($D$5:D177,D177,$E$5:E177,E177))</f>
        <v/>
      </c>
      <c r="K177" s="9" t="str">
        <f t="shared" si="11"/>
        <v/>
      </c>
      <c r="L177" s="12"/>
    </row>
    <row r="178" spans="1:12">
      <c r="A178" s="9" t="str">
        <f t="shared" si="10"/>
        <v/>
      </c>
      <c r="B178" s="21"/>
      <c r="C178" s="12"/>
      <c r="D178" s="12"/>
      <c r="E178" s="12"/>
      <c r="F178" s="12"/>
      <c r="G178" s="12"/>
      <c r="H178" s="12"/>
      <c r="I178" s="12"/>
      <c r="J178" s="9" t="str">
        <f>IF(D178="","",COUNTIFS($D$5:D178,D178,$E$5:E178,E178))</f>
        <v/>
      </c>
      <c r="K178" s="9" t="str">
        <f t="shared" si="11"/>
        <v/>
      </c>
      <c r="L178" s="12"/>
    </row>
    <row r="179" spans="1:12">
      <c r="A179" s="9" t="str">
        <f t="shared" si="10"/>
        <v/>
      </c>
      <c r="B179" s="21"/>
      <c r="C179" s="12"/>
      <c r="D179" s="12"/>
      <c r="E179" s="12"/>
      <c r="F179" s="12"/>
      <c r="G179" s="12"/>
      <c r="H179" s="12"/>
      <c r="I179" s="12"/>
      <c r="J179" s="9" t="str">
        <f>IF(D179="","",COUNTIFS($D$5:D179,D179,$E$5:E179,E179))</f>
        <v/>
      </c>
      <c r="K179" s="9" t="str">
        <f t="shared" si="11"/>
        <v/>
      </c>
      <c r="L179" s="12"/>
    </row>
    <row r="180" spans="1:12">
      <c r="A180" s="9" t="str">
        <f t="shared" si="10"/>
        <v/>
      </c>
      <c r="B180" s="21"/>
      <c r="C180" s="12"/>
      <c r="D180" s="12"/>
      <c r="E180" s="12"/>
      <c r="F180" s="12"/>
      <c r="G180" s="12"/>
      <c r="H180" s="12"/>
      <c r="I180" s="12"/>
      <c r="J180" s="9" t="str">
        <f>IF(D180="","",COUNTIFS($D$5:D180,D180,$E$5:E180,E180))</f>
        <v/>
      </c>
      <c r="K180" s="9" t="str">
        <f t="shared" si="11"/>
        <v/>
      </c>
      <c r="L180" s="12"/>
    </row>
    <row r="181" spans="1:12">
      <c r="A181" s="9" t="str">
        <f t="shared" si="10"/>
        <v/>
      </c>
      <c r="B181" s="21"/>
      <c r="C181" s="12"/>
      <c r="D181" s="12"/>
      <c r="E181" s="12"/>
      <c r="F181" s="12"/>
      <c r="G181" s="12"/>
      <c r="H181" s="12"/>
      <c r="I181" s="12"/>
      <c r="J181" s="9" t="str">
        <f>IF(D181="","",COUNTIFS($D$5:D181,D181,$E$5:E181,E181))</f>
        <v/>
      </c>
      <c r="K181" s="9" t="str">
        <f t="shared" si="11"/>
        <v/>
      </c>
      <c r="L181" s="12"/>
    </row>
    <row r="182" spans="1:12">
      <c r="A182" s="9" t="str">
        <f t="shared" si="10"/>
        <v/>
      </c>
      <c r="B182" s="21"/>
      <c r="C182" s="12"/>
      <c r="D182" s="12"/>
      <c r="E182" s="12"/>
      <c r="F182" s="12"/>
      <c r="G182" s="12"/>
      <c r="H182" s="12"/>
      <c r="I182" s="12"/>
      <c r="J182" s="9" t="str">
        <f>IF(D182="","",COUNTIFS($D$5:D182,D182,$E$5:E182,E182))</f>
        <v/>
      </c>
      <c r="K182" s="9" t="str">
        <f t="shared" si="11"/>
        <v/>
      </c>
      <c r="L182" s="12"/>
    </row>
    <row r="183" spans="1:12">
      <c r="A183" s="9" t="str">
        <f t="shared" si="10"/>
        <v/>
      </c>
      <c r="B183" s="21"/>
      <c r="C183" s="12"/>
      <c r="D183" s="12"/>
      <c r="E183" s="12"/>
      <c r="F183" s="12"/>
      <c r="G183" s="12"/>
      <c r="H183" s="12"/>
      <c r="I183" s="12"/>
      <c r="J183" s="9" t="str">
        <f>IF(D183="","",COUNTIFS($D$5:D183,D183,$E$5:E183,E183))</f>
        <v/>
      </c>
      <c r="K183" s="9" t="str">
        <f t="shared" si="11"/>
        <v/>
      </c>
      <c r="L183" s="12"/>
    </row>
    <row r="184" spans="1:12">
      <c r="A184" s="9" t="str">
        <f t="shared" si="10"/>
        <v/>
      </c>
      <c r="B184" s="21"/>
      <c r="C184" s="12"/>
      <c r="D184" s="12"/>
      <c r="E184" s="12"/>
      <c r="F184" s="12"/>
      <c r="G184" s="12"/>
      <c r="H184" s="12"/>
      <c r="I184" s="12"/>
      <c r="J184" s="9" t="str">
        <f>IF(D184="","",COUNTIFS($D$5:D184,D184,$E$5:E184,E184))</f>
        <v/>
      </c>
      <c r="K184" s="9" t="str">
        <f t="shared" si="11"/>
        <v/>
      </c>
      <c r="L184" s="12"/>
    </row>
    <row r="185" spans="1:12">
      <c r="A185" s="9" t="str">
        <f t="shared" si="10"/>
        <v/>
      </c>
      <c r="B185" s="21"/>
      <c r="C185" s="12"/>
      <c r="D185" s="12"/>
      <c r="E185" s="12"/>
      <c r="F185" s="12"/>
      <c r="G185" s="12"/>
      <c r="H185" s="12"/>
      <c r="I185" s="12"/>
      <c r="J185" s="9" t="str">
        <f>IF(D185="","",COUNTIFS($D$5:D185,D185,$E$5:E185,E185))</f>
        <v/>
      </c>
      <c r="K185" s="9" t="str">
        <f t="shared" si="11"/>
        <v/>
      </c>
      <c r="L185" s="12"/>
    </row>
    <row r="186" spans="1:12">
      <c r="A186" s="9" t="str">
        <f t="shared" si="10"/>
        <v/>
      </c>
      <c r="B186" s="21"/>
      <c r="C186" s="12"/>
      <c r="D186" s="12"/>
      <c r="E186" s="12"/>
      <c r="F186" s="12"/>
      <c r="G186" s="12"/>
      <c r="H186" s="12"/>
      <c r="I186" s="12"/>
      <c r="J186" s="9" t="str">
        <f>IF(D186="","",COUNTIFS($D$5:D186,D186,$E$5:E186,E186))</f>
        <v/>
      </c>
      <c r="K186" s="9" t="str">
        <f t="shared" si="11"/>
        <v/>
      </c>
      <c r="L186" s="12"/>
    </row>
    <row r="187" spans="1:12">
      <c r="A187" s="9" t="str">
        <f t="shared" si="10"/>
        <v/>
      </c>
      <c r="B187" s="21"/>
      <c r="C187" s="12"/>
      <c r="D187" s="12"/>
      <c r="E187" s="12"/>
      <c r="F187" s="12"/>
      <c r="G187" s="12"/>
      <c r="H187" s="12"/>
      <c r="I187" s="12"/>
      <c r="J187" s="9" t="str">
        <f>IF(D187="","",COUNTIFS($D$5:D187,D187,$E$5:E187,E187))</f>
        <v/>
      </c>
      <c r="K187" s="9" t="str">
        <f t="shared" si="11"/>
        <v/>
      </c>
      <c r="L187" s="12"/>
    </row>
    <row r="188" spans="1:12">
      <c r="A188" s="9" t="str">
        <f t="shared" si="10"/>
        <v/>
      </c>
      <c r="B188" s="21"/>
      <c r="C188" s="12"/>
      <c r="D188" s="12"/>
      <c r="E188" s="12"/>
      <c r="F188" s="12"/>
      <c r="G188" s="12"/>
      <c r="H188" s="12"/>
      <c r="I188" s="12"/>
      <c r="J188" s="9" t="str">
        <f>IF(D188="","",COUNTIFS($D$5:D188,D188,$E$5:E188,E188))</f>
        <v/>
      </c>
      <c r="K188" s="9" t="str">
        <f t="shared" si="11"/>
        <v/>
      </c>
      <c r="L188" s="12"/>
    </row>
    <row r="189" spans="1:12">
      <c r="A189" s="9" t="str">
        <f t="shared" si="10"/>
        <v/>
      </c>
      <c r="B189" s="21"/>
      <c r="C189" s="12"/>
      <c r="D189" s="12"/>
      <c r="E189" s="12"/>
      <c r="F189" s="12"/>
      <c r="G189" s="12"/>
      <c r="H189" s="12"/>
      <c r="I189" s="12"/>
      <c r="J189" s="9" t="str">
        <f>IF(D189="","",COUNTIFS($D$5:D189,D189,$E$5:E189,E189))</f>
        <v/>
      </c>
      <c r="K189" s="9" t="str">
        <f t="shared" si="11"/>
        <v/>
      </c>
      <c r="L189" s="12"/>
    </row>
    <row r="190" spans="1:12">
      <c r="A190" s="9" t="str">
        <f t="shared" si="10"/>
        <v/>
      </c>
      <c r="B190" s="21"/>
      <c r="C190" s="12"/>
      <c r="D190" s="12"/>
      <c r="E190" s="12"/>
      <c r="F190" s="12"/>
      <c r="G190" s="12"/>
      <c r="H190" s="12"/>
      <c r="I190" s="12"/>
      <c r="J190" s="9" t="str">
        <f>IF(D190="","",COUNTIFS($D$5:D190,D190,$E$5:E190,E190))</f>
        <v/>
      </c>
      <c r="K190" s="9" t="str">
        <f t="shared" si="11"/>
        <v/>
      </c>
      <c r="L190" s="12"/>
    </row>
    <row r="191" spans="1:12">
      <c r="A191" s="9" t="str">
        <f t="shared" si="10"/>
        <v/>
      </c>
      <c r="B191" s="21"/>
      <c r="C191" s="12"/>
      <c r="D191" s="12"/>
      <c r="E191" s="12"/>
      <c r="F191" s="12"/>
      <c r="G191" s="12"/>
      <c r="H191" s="12"/>
      <c r="I191" s="12"/>
      <c r="J191" s="9" t="str">
        <f>IF(D191="","",COUNTIFS($D$5:D191,D191,$E$5:E191,E191))</f>
        <v/>
      </c>
      <c r="K191" s="9" t="str">
        <f t="shared" si="11"/>
        <v/>
      </c>
      <c r="L191" s="12"/>
    </row>
    <row r="192" spans="1:12">
      <c r="A192" s="9" t="str">
        <f t="shared" si="10"/>
        <v/>
      </c>
      <c r="B192" s="21"/>
      <c r="C192" s="12"/>
      <c r="D192" s="12"/>
      <c r="E192" s="12"/>
      <c r="F192" s="12"/>
      <c r="G192" s="12"/>
      <c r="H192" s="12"/>
      <c r="I192" s="12"/>
      <c r="J192" s="9" t="str">
        <f>IF(D192="","",COUNTIFS($D$5:D192,D192,$E$5:E192,E192))</f>
        <v/>
      </c>
      <c r="K192" s="9" t="str">
        <f t="shared" si="11"/>
        <v/>
      </c>
      <c r="L192" s="12"/>
    </row>
    <row r="193" spans="1:12">
      <c r="A193" s="9" t="str">
        <f t="shared" si="10"/>
        <v/>
      </c>
      <c r="B193" s="21"/>
      <c r="C193" s="12"/>
      <c r="D193" s="12"/>
      <c r="E193" s="12"/>
      <c r="F193" s="12"/>
      <c r="G193" s="12"/>
      <c r="H193" s="12"/>
      <c r="I193" s="12"/>
      <c r="J193" s="9" t="str">
        <f>IF(D193="","",COUNTIFS($D$5:D193,D193,$E$5:E193,E193))</f>
        <v/>
      </c>
      <c r="K193" s="9" t="str">
        <f t="shared" si="11"/>
        <v/>
      </c>
      <c r="L193" s="12"/>
    </row>
    <row r="194" spans="1:12">
      <c r="A194" s="9" t="str">
        <f t="shared" si="10"/>
        <v/>
      </c>
      <c r="B194" s="21"/>
      <c r="C194" s="12"/>
      <c r="D194" s="12"/>
      <c r="E194" s="12"/>
      <c r="F194" s="12"/>
      <c r="G194" s="12"/>
      <c r="H194" s="12"/>
      <c r="I194" s="12"/>
      <c r="J194" s="9" t="str">
        <f>IF(D194="","",COUNTIFS($D$5:D194,D194,$E$5:E194,E194))</f>
        <v/>
      </c>
      <c r="K194" s="9" t="str">
        <f t="shared" si="11"/>
        <v/>
      </c>
      <c r="L194" s="12"/>
    </row>
    <row r="195" spans="1:12">
      <c r="A195" s="9" t="str">
        <f t="shared" si="10"/>
        <v/>
      </c>
      <c r="B195" s="21"/>
      <c r="C195" s="12"/>
      <c r="D195" s="12"/>
      <c r="E195" s="12"/>
      <c r="F195" s="12"/>
      <c r="G195" s="12"/>
      <c r="H195" s="12"/>
      <c r="I195" s="12"/>
      <c r="J195" s="9" t="str">
        <f>IF(D195="","",COUNTIFS($D$5:D195,D195,$E$5:E195,E195))</f>
        <v/>
      </c>
      <c r="K195" s="9" t="str">
        <f t="shared" si="11"/>
        <v/>
      </c>
      <c r="L195" s="12"/>
    </row>
    <row r="196" spans="1:12">
      <c r="A196" s="9" t="str">
        <f t="shared" si="10"/>
        <v/>
      </c>
      <c r="B196" s="21"/>
      <c r="C196" s="12"/>
      <c r="D196" s="12"/>
      <c r="E196" s="12"/>
      <c r="F196" s="12"/>
      <c r="G196" s="12"/>
      <c r="H196" s="12"/>
      <c r="I196" s="12"/>
      <c r="J196" s="9" t="str">
        <f>IF(D196="","",COUNTIFS($D$5:D196,D196,$E$5:E196,E196))</f>
        <v/>
      </c>
      <c r="K196" s="9" t="str">
        <f t="shared" si="11"/>
        <v/>
      </c>
      <c r="L196" s="12"/>
    </row>
    <row r="197" spans="1:12">
      <c r="A197" s="9" t="str">
        <f t="shared" ref="A197:A228" si="12">IF(B197="","",ROW()-4)</f>
        <v/>
      </c>
      <c r="B197" s="21"/>
      <c r="C197" s="12"/>
      <c r="D197" s="12"/>
      <c r="E197" s="12"/>
      <c r="F197" s="12"/>
      <c r="G197" s="12"/>
      <c r="H197" s="12"/>
      <c r="I197" s="12"/>
      <c r="J197" s="9" t="str">
        <f>IF(D197="","",COUNTIFS($D$5:D197,D197,$E$5:E197,E197))</f>
        <v/>
      </c>
      <c r="K197" s="9" t="str">
        <f t="shared" ref="K197:K228" si="13">IF(J197="","",IF(J197&gt;=3,"是","否"))</f>
        <v/>
      </c>
      <c r="L197" s="12"/>
    </row>
    <row r="198" spans="1:12">
      <c r="A198" s="9" t="str">
        <f t="shared" si="12"/>
        <v/>
      </c>
      <c r="B198" s="21"/>
      <c r="C198" s="12"/>
      <c r="D198" s="12"/>
      <c r="E198" s="12"/>
      <c r="F198" s="12"/>
      <c r="G198" s="12"/>
      <c r="H198" s="12"/>
      <c r="I198" s="12"/>
      <c r="J198" s="9" t="str">
        <f>IF(D198="","",COUNTIFS($D$5:D198,D198,$E$5:E198,E198))</f>
        <v/>
      </c>
      <c r="K198" s="9" t="str">
        <f t="shared" si="13"/>
        <v/>
      </c>
      <c r="L198" s="12"/>
    </row>
    <row r="199" spans="1:12">
      <c r="A199" s="9" t="str">
        <f t="shared" si="12"/>
        <v/>
      </c>
      <c r="B199" s="21"/>
      <c r="C199" s="12"/>
      <c r="D199" s="12"/>
      <c r="E199" s="12"/>
      <c r="F199" s="12"/>
      <c r="G199" s="12"/>
      <c r="H199" s="12"/>
      <c r="I199" s="12"/>
      <c r="J199" s="9" t="str">
        <f>IF(D199="","",COUNTIFS($D$5:D199,D199,$E$5:E199,E199))</f>
        <v/>
      </c>
      <c r="K199" s="9" t="str">
        <f t="shared" si="13"/>
        <v/>
      </c>
      <c r="L199" s="12"/>
    </row>
    <row r="200" spans="1:12">
      <c r="A200" s="9" t="str">
        <f t="shared" si="12"/>
        <v/>
      </c>
      <c r="B200" s="21"/>
      <c r="C200" s="12"/>
      <c r="D200" s="12"/>
      <c r="E200" s="12"/>
      <c r="F200" s="12"/>
      <c r="G200" s="12"/>
      <c r="H200" s="12"/>
      <c r="I200" s="12"/>
      <c r="J200" s="9" t="str">
        <f>IF(D200="","",COUNTIFS($D$5:D200,D200,$E$5:E200,E200))</f>
        <v/>
      </c>
      <c r="K200" s="9" t="str">
        <f t="shared" si="13"/>
        <v/>
      </c>
      <c r="L200" s="12"/>
    </row>
    <row r="201" spans="1:12">
      <c r="A201" s="9" t="str">
        <f t="shared" si="12"/>
        <v/>
      </c>
      <c r="B201" s="21"/>
      <c r="C201" s="12"/>
      <c r="D201" s="12"/>
      <c r="E201" s="12"/>
      <c r="F201" s="12"/>
      <c r="G201" s="12"/>
      <c r="H201" s="12"/>
      <c r="I201" s="12"/>
      <c r="J201" s="9" t="str">
        <f>IF(D201="","",COUNTIFS($D$5:D201,D201,$E$5:E201,E201))</f>
        <v/>
      </c>
      <c r="K201" s="9" t="str">
        <f t="shared" si="13"/>
        <v/>
      </c>
      <c r="L201" s="12"/>
    </row>
    <row r="202" spans="1:12">
      <c r="A202" s="9" t="str">
        <f t="shared" si="12"/>
        <v/>
      </c>
      <c r="B202" s="21"/>
      <c r="C202" s="12"/>
      <c r="D202" s="12"/>
      <c r="E202" s="12"/>
      <c r="F202" s="12"/>
      <c r="G202" s="12"/>
      <c r="H202" s="12"/>
      <c r="I202" s="12"/>
      <c r="J202" s="9" t="str">
        <f>IF(D202="","",COUNTIFS($D$5:D202,D202,$E$5:E202,E202))</f>
        <v/>
      </c>
      <c r="K202" s="9" t="str">
        <f t="shared" si="13"/>
        <v/>
      </c>
      <c r="L202" s="12"/>
    </row>
    <row r="203" spans="1:12">
      <c r="A203" s="9" t="str">
        <f t="shared" si="12"/>
        <v/>
      </c>
      <c r="B203" s="21"/>
      <c r="C203" s="12"/>
      <c r="D203" s="12"/>
      <c r="E203" s="12"/>
      <c r="F203" s="12"/>
      <c r="G203" s="12"/>
      <c r="H203" s="12"/>
      <c r="I203" s="12"/>
      <c r="J203" s="9" t="str">
        <f>IF(D203="","",COUNTIFS($D$5:D203,D203,$E$5:E203,E203))</f>
        <v/>
      </c>
      <c r="K203" s="9" t="str">
        <f t="shared" si="13"/>
        <v/>
      </c>
      <c r="L203" s="12"/>
    </row>
    <row r="204" spans="1:12">
      <c r="A204" s="15" t="str">
        <f t="shared" si="12"/>
        <v/>
      </c>
      <c r="B204" s="22"/>
      <c r="C204" s="18"/>
      <c r="D204" s="18"/>
      <c r="E204" s="18"/>
      <c r="F204" s="18"/>
      <c r="G204" s="18"/>
      <c r="H204" s="18"/>
      <c r="I204" s="18"/>
      <c r="J204" s="15" t="str">
        <f>IF(D204="","",COUNTIFS($D$5:D204,D204,$E$5:E204,E204))</f>
        <v/>
      </c>
      <c r="K204" s="15" t="str">
        <f t="shared" si="13"/>
        <v/>
      </c>
      <c r="L204" s="18"/>
    </row>
  </sheetData>
  <mergeCells count="2">
    <mergeCell ref="A1:L1"/>
    <mergeCell ref="A2:L2"/>
  </mergeCells>
  <phoneticPr fontId="18" type="noConversion"/>
  <conditionalFormatting sqref="K5:K204">
    <cfRule type="containsText" dxfId="3" priority="1" operator="containsText" text="是"/>
  </conditionalFormatting>
  <conditionalFormatting sqref="L5:L204">
    <cfRule type="containsText" dxfId="2" priority="2" operator="containsText" text="是"/>
  </conditionalFormatting>
  <dataValidations count="3">
    <dataValidation type="list" sqref="C5:C204" xr:uid="{00000000-0002-0000-0300-000000000000}">
      <formula1>"上午,下午"</formula1>
    </dataValidation>
    <dataValidation type="list" sqref="E5:E204" xr:uid="{00000000-0002-0000-0300-000001000000}">
      <formula1>"知识不会,概念混淆,计算失误,时间不足"</formula1>
    </dataValidation>
    <dataValidation type="list" sqref="L5:L204" xr:uid="{00000000-0002-0000-0300-000002000000}">
      <formula1>"否,是"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3"/>
  <sheetViews>
    <sheetView showGridLines="0" workbookViewId="0"/>
  </sheetViews>
  <sheetFormatPr defaultRowHeight="14.25"/>
  <cols>
    <col min="1" max="1" width="23" customWidth="1"/>
    <col min="2" max="2" width="10" customWidth="1"/>
    <col min="3" max="3" width="14" customWidth="1"/>
    <col min="4" max="4" width="33" customWidth="1"/>
    <col min="5" max="6" width="13" customWidth="1"/>
    <col min="7" max="7" width="12" customWidth="1"/>
    <col min="8" max="8" width="11" customWidth="1"/>
    <col min="9" max="9" width="12" customWidth="1"/>
    <col min="10" max="10" width="13" customWidth="1"/>
    <col min="11" max="11" width="28" customWidth="1"/>
  </cols>
  <sheetData>
    <row r="1" spans="1:11" ht="33.950000000000003" customHeight="1">
      <c r="A1" s="35" t="s">
        <v>269</v>
      </c>
      <c r="B1" s="35" t="s">
        <v>269</v>
      </c>
      <c r="C1" s="35" t="s">
        <v>269</v>
      </c>
      <c r="D1" s="35" t="s">
        <v>269</v>
      </c>
      <c r="E1" s="35" t="s">
        <v>269</v>
      </c>
      <c r="F1" s="35" t="s">
        <v>269</v>
      </c>
      <c r="G1" s="35" t="s">
        <v>269</v>
      </c>
      <c r="H1" s="35" t="s">
        <v>269</v>
      </c>
      <c r="I1" s="35" t="s">
        <v>269</v>
      </c>
      <c r="J1" s="35" t="s">
        <v>269</v>
      </c>
      <c r="K1" s="35" t="s">
        <v>269</v>
      </c>
    </row>
    <row r="2" spans="1:11" ht="30" customHeight="1">
      <c r="A2" s="36" t="s">
        <v>270</v>
      </c>
      <c r="B2" s="36" t="s">
        <v>270</v>
      </c>
      <c r="C2" s="36" t="s">
        <v>270</v>
      </c>
      <c r="D2" s="36" t="s">
        <v>270</v>
      </c>
      <c r="E2" s="36" t="s">
        <v>270</v>
      </c>
      <c r="F2" s="36" t="s">
        <v>270</v>
      </c>
      <c r="G2" s="36" t="s">
        <v>270</v>
      </c>
      <c r="H2" s="36" t="s">
        <v>270</v>
      </c>
      <c r="I2" s="36" t="s">
        <v>270</v>
      </c>
      <c r="J2" s="36" t="s">
        <v>270</v>
      </c>
      <c r="K2" s="36" t="s">
        <v>270</v>
      </c>
    </row>
    <row r="4" spans="1:11" ht="15">
      <c r="A4" s="1" t="s">
        <v>260</v>
      </c>
      <c r="B4" s="1" t="s">
        <v>271</v>
      </c>
      <c r="C4" s="1" t="s">
        <v>272</v>
      </c>
      <c r="D4" s="1" t="s">
        <v>273</v>
      </c>
      <c r="E4" s="1" t="s">
        <v>274</v>
      </c>
      <c r="F4" s="1" t="s">
        <v>275</v>
      </c>
      <c r="G4" s="1" t="s">
        <v>276</v>
      </c>
      <c r="H4" s="1" t="s">
        <v>277</v>
      </c>
      <c r="I4" s="1" t="s">
        <v>15</v>
      </c>
      <c r="J4" s="1" t="s">
        <v>278</v>
      </c>
      <c r="K4" s="1" t="s">
        <v>39</v>
      </c>
    </row>
    <row r="5" spans="1:11" ht="33.950000000000003" customHeight="1">
      <c r="A5" s="3" t="s">
        <v>279</v>
      </c>
      <c r="B5" s="3" t="s">
        <v>280</v>
      </c>
      <c r="C5" s="3" t="s">
        <v>281</v>
      </c>
      <c r="D5" s="3" t="s">
        <v>282</v>
      </c>
      <c r="E5" s="2">
        <v>46262</v>
      </c>
      <c r="F5" s="2">
        <v>46303</v>
      </c>
      <c r="G5" s="6"/>
      <c r="H5" s="23"/>
      <c r="I5" s="3" t="str">
        <f t="shared" ref="I5:I33" si="0">IF(G5="","未开始",IF(H5&gt;=0.8,"已巩固",IF(H5&gt;=0.65,"训练中","需补强")))</f>
        <v>未开始</v>
      </c>
      <c r="J5" s="6"/>
      <c r="K5" s="6"/>
    </row>
    <row r="6" spans="1:11" ht="33.950000000000003" customHeight="1">
      <c r="A6" s="9" t="s">
        <v>283</v>
      </c>
      <c r="B6" s="9" t="s">
        <v>284</v>
      </c>
      <c r="C6" s="9" t="s">
        <v>281</v>
      </c>
      <c r="D6" s="9" t="s">
        <v>285</v>
      </c>
      <c r="E6" s="8">
        <v>46263</v>
      </c>
      <c r="F6" s="8">
        <v>46303</v>
      </c>
      <c r="G6" s="12"/>
      <c r="H6" s="24"/>
      <c r="I6" s="9" t="str">
        <f t="shared" si="0"/>
        <v>未开始</v>
      </c>
      <c r="J6" s="12"/>
      <c r="K6" s="12"/>
    </row>
    <row r="7" spans="1:11" ht="33.950000000000003" customHeight="1">
      <c r="A7" s="9" t="s">
        <v>286</v>
      </c>
      <c r="B7" s="9" t="s">
        <v>284</v>
      </c>
      <c r="C7" s="9" t="s">
        <v>281</v>
      </c>
      <c r="D7" s="9" t="s">
        <v>287</v>
      </c>
      <c r="E7" s="8">
        <v>46264</v>
      </c>
      <c r="F7" s="8">
        <v>46303</v>
      </c>
      <c r="G7" s="12"/>
      <c r="H7" s="24"/>
      <c r="I7" s="9" t="str">
        <f t="shared" si="0"/>
        <v>未开始</v>
      </c>
      <c r="J7" s="12"/>
      <c r="K7" s="12"/>
    </row>
    <row r="8" spans="1:11" ht="33.950000000000003" customHeight="1">
      <c r="A8" s="9" t="s">
        <v>288</v>
      </c>
      <c r="B8" s="9" t="s">
        <v>280</v>
      </c>
      <c r="C8" s="9" t="s">
        <v>281</v>
      </c>
      <c r="D8" s="9" t="s">
        <v>289</v>
      </c>
      <c r="E8" s="8">
        <v>46264</v>
      </c>
      <c r="F8" s="8">
        <v>46303</v>
      </c>
      <c r="G8" s="12"/>
      <c r="H8" s="24"/>
      <c r="I8" s="9" t="str">
        <f t="shared" si="0"/>
        <v>未开始</v>
      </c>
      <c r="J8" s="12"/>
      <c r="K8" s="12"/>
    </row>
    <row r="9" spans="1:11" ht="33.950000000000003" customHeight="1">
      <c r="A9" s="9" t="s">
        <v>290</v>
      </c>
      <c r="B9" s="9" t="s">
        <v>280</v>
      </c>
      <c r="C9" s="9" t="s">
        <v>281</v>
      </c>
      <c r="D9" s="9" t="s">
        <v>291</v>
      </c>
      <c r="E9" s="8">
        <v>46265</v>
      </c>
      <c r="F9" s="8">
        <v>46303</v>
      </c>
      <c r="G9" s="12"/>
      <c r="H9" s="24"/>
      <c r="I9" s="9" t="str">
        <f t="shared" si="0"/>
        <v>未开始</v>
      </c>
      <c r="J9" s="12"/>
      <c r="K9" s="12"/>
    </row>
    <row r="10" spans="1:11" ht="33.950000000000003" customHeight="1">
      <c r="A10" s="9" t="s">
        <v>292</v>
      </c>
      <c r="B10" s="9" t="s">
        <v>284</v>
      </c>
      <c r="C10" s="9" t="s">
        <v>293</v>
      </c>
      <c r="D10" s="9" t="s">
        <v>294</v>
      </c>
      <c r="E10" s="8">
        <v>46267</v>
      </c>
      <c r="F10" s="8">
        <v>46301</v>
      </c>
      <c r="G10" s="12"/>
      <c r="H10" s="24"/>
      <c r="I10" s="9" t="str">
        <f t="shared" si="0"/>
        <v>未开始</v>
      </c>
      <c r="J10" s="12"/>
      <c r="K10" s="12"/>
    </row>
    <row r="11" spans="1:11" ht="33.950000000000003" customHeight="1">
      <c r="A11" s="9" t="s">
        <v>74</v>
      </c>
      <c r="B11" s="9" t="s">
        <v>284</v>
      </c>
      <c r="C11" s="9" t="s">
        <v>293</v>
      </c>
      <c r="D11" s="9" t="s">
        <v>295</v>
      </c>
      <c r="E11" s="8">
        <v>46268</v>
      </c>
      <c r="F11" s="8">
        <v>46301</v>
      </c>
      <c r="G11" s="12"/>
      <c r="H11" s="24"/>
      <c r="I11" s="9" t="str">
        <f t="shared" si="0"/>
        <v>未开始</v>
      </c>
      <c r="J11" s="12"/>
      <c r="K11" s="12"/>
    </row>
    <row r="12" spans="1:11" ht="33.950000000000003" customHeight="1">
      <c r="A12" s="9" t="s">
        <v>296</v>
      </c>
      <c r="B12" s="9" t="s">
        <v>284</v>
      </c>
      <c r="C12" s="9" t="s">
        <v>293</v>
      </c>
      <c r="D12" s="9" t="s">
        <v>297</v>
      </c>
      <c r="E12" s="8">
        <v>46269</v>
      </c>
      <c r="F12" s="8">
        <v>46301</v>
      </c>
      <c r="G12" s="12"/>
      <c r="H12" s="24"/>
      <c r="I12" s="9" t="str">
        <f t="shared" si="0"/>
        <v>未开始</v>
      </c>
      <c r="J12" s="12"/>
      <c r="K12" s="12"/>
    </row>
    <row r="13" spans="1:11" ht="33.950000000000003" customHeight="1">
      <c r="A13" s="9" t="s">
        <v>80</v>
      </c>
      <c r="B13" s="9" t="s">
        <v>284</v>
      </c>
      <c r="C13" s="9" t="s">
        <v>293</v>
      </c>
      <c r="D13" s="9" t="s">
        <v>298</v>
      </c>
      <c r="E13" s="8">
        <v>46270</v>
      </c>
      <c r="F13" s="8">
        <v>46301</v>
      </c>
      <c r="G13" s="12"/>
      <c r="H13" s="24"/>
      <c r="I13" s="9" t="str">
        <f t="shared" si="0"/>
        <v>未开始</v>
      </c>
      <c r="J13" s="12"/>
      <c r="K13" s="12"/>
    </row>
    <row r="14" spans="1:11" ht="33.950000000000003" customHeight="1">
      <c r="A14" s="9" t="s">
        <v>299</v>
      </c>
      <c r="B14" s="9" t="s">
        <v>284</v>
      </c>
      <c r="C14" s="9" t="s">
        <v>300</v>
      </c>
      <c r="D14" s="9" t="s">
        <v>301</v>
      </c>
      <c r="E14" s="8">
        <v>46271</v>
      </c>
      <c r="F14" s="8">
        <v>46308</v>
      </c>
      <c r="G14" s="12"/>
      <c r="H14" s="24"/>
      <c r="I14" s="9" t="str">
        <f t="shared" si="0"/>
        <v>未开始</v>
      </c>
      <c r="J14" s="12"/>
      <c r="K14" s="12"/>
    </row>
    <row r="15" spans="1:11" ht="33.950000000000003" customHeight="1">
      <c r="A15" s="9" t="s">
        <v>302</v>
      </c>
      <c r="B15" s="9" t="s">
        <v>284</v>
      </c>
      <c r="C15" s="9" t="s">
        <v>293</v>
      </c>
      <c r="D15" s="9" t="s">
        <v>303</v>
      </c>
      <c r="E15" s="8">
        <v>46274</v>
      </c>
      <c r="F15" s="8">
        <v>46289</v>
      </c>
      <c r="G15" s="12"/>
      <c r="H15" s="24"/>
      <c r="I15" s="9" t="str">
        <f t="shared" si="0"/>
        <v>未开始</v>
      </c>
      <c r="J15" s="12"/>
      <c r="K15" s="12"/>
    </row>
    <row r="16" spans="1:11" ht="33.950000000000003" customHeight="1">
      <c r="A16" s="9" t="s">
        <v>304</v>
      </c>
      <c r="B16" s="9" t="s">
        <v>284</v>
      </c>
      <c r="C16" s="9" t="s">
        <v>293</v>
      </c>
      <c r="D16" s="9" t="s">
        <v>305</v>
      </c>
      <c r="E16" s="8">
        <v>46275</v>
      </c>
      <c r="F16" s="8">
        <v>46289</v>
      </c>
      <c r="G16" s="12"/>
      <c r="H16" s="24"/>
      <c r="I16" s="9" t="str">
        <f t="shared" si="0"/>
        <v>未开始</v>
      </c>
      <c r="J16" s="12"/>
      <c r="K16" s="12"/>
    </row>
    <row r="17" spans="1:11" ht="33.950000000000003" customHeight="1">
      <c r="A17" s="9" t="s">
        <v>306</v>
      </c>
      <c r="B17" s="9" t="s">
        <v>284</v>
      </c>
      <c r="C17" s="9" t="s">
        <v>293</v>
      </c>
      <c r="D17" s="9" t="s">
        <v>307</v>
      </c>
      <c r="E17" s="8">
        <v>46276</v>
      </c>
      <c r="F17" s="8">
        <v>46290</v>
      </c>
      <c r="G17" s="12"/>
      <c r="H17" s="24"/>
      <c r="I17" s="9" t="str">
        <f t="shared" si="0"/>
        <v>未开始</v>
      </c>
      <c r="J17" s="12"/>
      <c r="K17" s="12"/>
    </row>
    <row r="18" spans="1:11" ht="33.950000000000003" customHeight="1">
      <c r="A18" s="9" t="s">
        <v>102</v>
      </c>
      <c r="B18" s="9" t="s">
        <v>284</v>
      </c>
      <c r="C18" s="9" t="s">
        <v>300</v>
      </c>
      <c r="D18" s="9" t="s">
        <v>308</v>
      </c>
      <c r="E18" s="8">
        <v>46277</v>
      </c>
      <c r="F18" s="8">
        <v>46291</v>
      </c>
      <c r="G18" s="12"/>
      <c r="H18" s="24"/>
      <c r="I18" s="9" t="str">
        <f t="shared" si="0"/>
        <v>未开始</v>
      </c>
      <c r="J18" s="12"/>
      <c r="K18" s="12"/>
    </row>
    <row r="19" spans="1:11" ht="33.950000000000003" customHeight="1">
      <c r="A19" s="9" t="s">
        <v>309</v>
      </c>
      <c r="B19" s="9" t="s">
        <v>280</v>
      </c>
      <c r="C19" s="9" t="s">
        <v>281</v>
      </c>
      <c r="D19" s="9" t="s">
        <v>310</v>
      </c>
      <c r="E19" s="8">
        <v>46278</v>
      </c>
      <c r="F19" s="8">
        <v>46303</v>
      </c>
      <c r="G19" s="12"/>
      <c r="H19" s="24"/>
      <c r="I19" s="9" t="str">
        <f t="shared" si="0"/>
        <v>未开始</v>
      </c>
      <c r="J19" s="12"/>
      <c r="K19" s="12"/>
    </row>
    <row r="20" spans="1:11" ht="33.950000000000003" customHeight="1">
      <c r="A20" s="9" t="s">
        <v>108</v>
      </c>
      <c r="B20" s="9" t="s">
        <v>280</v>
      </c>
      <c r="C20" s="9" t="s">
        <v>281</v>
      </c>
      <c r="D20" s="9" t="s">
        <v>311</v>
      </c>
      <c r="E20" s="8">
        <v>46279</v>
      </c>
      <c r="F20" s="8">
        <v>46303</v>
      </c>
      <c r="G20" s="12"/>
      <c r="H20" s="24"/>
      <c r="I20" s="9" t="str">
        <f t="shared" si="0"/>
        <v>未开始</v>
      </c>
      <c r="J20" s="12"/>
      <c r="K20" s="12"/>
    </row>
    <row r="21" spans="1:11" ht="33.950000000000003" customHeight="1">
      <c r="A21" s="9" t="s">
        <v>312</v>
      </c>
      <c r="B21" s="9" t="s">
        <v>284</v>
      </c>
      <c r="C21" s="9" t="s">
        <v>281</v>
      </c>
      <c r="D21" s="9" t="s">
        <v>313</v>
      </c>
      <c r="E21" s="8">
        <v>46281</v>
      </c>
      <c r="F21" s="8">
        <v>46304</v>
      </c>
      <c r="G21" s="12"/>
      <c r="H21" s="24"/>
      <c r="I21" s="9" t="str">
        <f t="shared" si="0"/>
        <v>未开始</v>
      </c>
      <c r="J21" s="12"/>
      <c r="K21" s="12"/>
    </row>
    <row r="22" spans="1:11" ht="33.950000000000003" customHeight="1">
      <c r="A22" s="9" t="s">
        <v>314</v>
      </c>
      <c r="B22" s="9" t="s">
        <v>284</v>
      </c>
      <c r="C22" s="9" t="s">
        <v>293</v>
      </c>
      <c r="D22" s="9" t="s">
        <v>315</v>
      </c>
      <c r="E22" s="8">
        <v>46282</v>
      </c>
      <c r="F22" s="8">
        <v>46304</v>
      </c>
      <c r="G22" s="12"/>
      <c r="H22" s="24"/>
      <c r="I22" s="9" t="str">
        <f t="shared" si="0"/>
        <v>未开始</v>
      </c>
      <c r="J22" s="12"/>
      <c r="K22" s="12"/>
    </row>
    <row r="23" spans="1:11" ht="33.950000000000003" customHeight="1">
      <c r="A23" s="9" t="s">
        <v>316</v>
      </c>
      <c r="B23" s="9" t="s">
        <v>284</v>
      </c>
      <c r="C23" s="9" t="s">
        <v>281</v>
      </c>
      <c r="D23" s="9" t="s">
        <v>317</v>
      </c>
      <c r="E23" s="8">
        <v>46282</v>
      </c>
      <c r="F23" s="8">
        <v>46304</v>
      </c>
      <c r="G23" s="12"/>
      <c r="H23" s="24"/>
      <c r="I23" s="9" t="str">
        <f t="shared" si="0"/>
        <v>未开始</v>
      </c>
      <c r="J23" s="12"/>
      <c r="K23" s="12"/>
    </row>
    <row r="24" spans="1:11" ht="33.950000000000003" customHeight="1">
      <c r="A24" s="9" t="s">
        <v>119</v>
      </c>
      <c r="B24" s="9" t="s">
        <v>280</v>
      </c>
      <c r="C24" s="9" t="s">
        <v>281</v>
      </c>
      <c r="D24" s="9" t="s">
        <v>318</v>
      </c>
      <c r="E24" s="8">
        <v>46283</v>
      </c>
      <c r="F24" s="8">
        <v>46304</v>
      </c>
      <c r="G24" s="12"/>
      <c r="H24" s="24"/>
      <c r="I24" s="9" t="str">
        <f t="shared" si="0"/>
        <v>未开始</v>
      </c>
      <c r="J24" s="12"/>
      <c r="K24" s="12"/>
    </row>
    <row r="25" spans="1:11" ht="33.950000000000003" customHeight="1">
      <c r="A25" s="9" t="s">
        <v>128</v>
      </c>
      <c r="B25" s="9" t="s">
        <v>280</v>
      </c>
      <c r="C25" s="9" t="s">
        <v>281</v>
      </c>
      <c r="D25" s="9" t="s">
        <v>319</v>
      </c>
      <c r="E25" s="8">
        <v>46286</v>
      </c>
      <c r="F25" s="8">
        <v>46304</v>
      </c>
      <c r="G25" s="12"/>
      <c r="H25" s="24"/>
      <c r="I25" s="9" t="str">
        <f t="shared" si="0"/>
        <v>未开始</v>
      </c>
      <c r="J25" s="12"/>
      <c r="K25" s="12"/>
    </row>
    <row r="26" spans="1:11" ht="33.950000000000003" customHeight="1">
      <c r="A26" s="9" t="s">
        <v>320</v>
      </c>
      <c r="B26" s="9" t="s">
        <v>284</v>
      </c>
      <c r="C26" s="9" t="s">
        <v>300</v>
      </c>
      <c r="D26" s="9" t="s">
        <v>321</v>
      </c>
      <c r="E26" s="8">
        <v>46288</v>
      </c>
      <c r="F26" s="8">
        <v>46308</v>
      </c>
      <c r="G26" s="12"/>
      <c r="H26" s="24"/>
      <c r="I26" s="9" t="str">
        <f t="shared" si="0"/>
        <v>未开始</v>
      </c>
      <c r="J26" s="12"/>
      <c r="K26" s="12"/>
    </row>
    <row r="27" spans="1:11" ht="33.950000000000003" customHeight="1">
      <c r="A27" s="9" t="s">
        <v>322</v>
      </c>
      <c r="B27" s="9" t="s">
        <v>284</v>
      </c>
      <c r="C27" s="9" t="s">
        <v>300</v>
      </c>
      <c r="D27" s="9" t="s">
        <v>323</v>
      </c>
      <c r="E27" s="8">
        <v>46290</v>
      </c>
      <c r="F27" s="8">
        <v>46308</v>
      </c>
      <c r="G27" s="12"/>
      <c r="H27" s="24"/>
      <c r="I27" s="9" t="str">
        <f t="shared" si="0"/>
        <v>未开始</v>
      </c>
      <c r="J27" s="12"/>
      <c r="K27" s="12"/>
    </row>
    <row r="28" spans="1:11" ht="33.950000000000003" customHeight="1">
      <c r="A28" s="9" t="s">
        <v>324</v>
      </c>
      <c r="B28" s="9" t="s">
        <v>284</v>
      </c>
      <c r="C28" s="9" t="s">
        <v>300</v>
      </c>
      <c r="D28" s="9" t="s">
        <v>325</v>
      </c>
      <c r="E28" s="8">
        <v>46292</v>
      </c>
      <c r="F28" s="8">
        <v>46308</v>
      </c>
      <c r="G28" s="12"/>
      <c r="H28" s="24"/>
      <c r="I28" s="9" t="str">
        <f t="shared" si="0"/>
        <v>未开始</v>
      </c>
      <c r="J28" s="12"/>
      <c r="K28" s="12"/>
    </row>
    <row r="29" spans="1:11" ht="33.950000000000003" customHeight="1">
      <c r="A29" s="9" t="s">
        <v>326</v>
      </c>
      <c r="B29" s="9" t="s">
        <v>284</v>
      </c>
      <c r="C29" s="9" t="s">
        <v>293</v>
      </c>
      <c r="D29" s="9" t="s">
        <v>327</v>
      </c>
      <c r="E29" s="8">
        <v>46296</v>
      </c>
      <c r="F29" s="8">
        <v>46310</v>
      </c>
      <c r="G29" s="12"/>
      <c r="H29" s="24"/>
      <c r="I29" s="9" t="str">
        <f t="shared" si="0"/>
        <v>未开始</v>
      </c>
      <c r="J29" s="12"/>
      <c r="K29" s="12"/>
    </row>
    <row r="30" spans="1:11" ht="33.950000000000003" customHeight="1">
      <c r="A30" s="9" t="s">
        <v>328</v>
      </c>
      <c r="B30" s="9" t="s">
        <v>284</v>
      </c>
      <c r="C30" s="9" t="s">
        <v>293</v>
      </c>
      <c r="D30" s="9" t="s">
        <v>327</v>
      </c>
      <c r="E30" s="8">
        <v>46296</v>
      </c>
      <c r="F30" s="8">
        <v>46310</v>
      </c>
      <c r="G30" s="12"/>
      <c r="H30" s="24"/>
      <c r="I30" s="9" t="str">
        <f t="shared" si="0"/>
        <v>未开始</v>
      </c>
      <c r="J30" s="12"/>
      <c r="K30" s="12"/>
    </row>
    <row r="31" spans="1:11" ht="33.950000000000003" customHeight="1">
      <c r="A31" s="9" t="s">
        <v>329</v>
      </c>
      <c r="B31" s="9" t="s">
        <v>284</v>
      </c>
      <c r="C31" s="9" t="s">
        <v>293</v>
      </c>
      <c r="D31" s="9" t="s">
        <v>327</v>
      </c>
      <c r="E31" s="8">
        <v>46297</v>
      </c>
      <c r="F31" s="8">
        <v>46310</v>
      </c>
      <c r="G31" s="12"/>
      <c r="H31" s="24"/>
      <c r="I31" s="9" t="str">
        <f t="shared" si="0"/>
        <v>未开始</v>
      </c>
      <c r="J31" s="12"/>
      <c r="K31" s="12"/>
    </row>
    <row r="32" spans="1:11" ht="33.950000000000003" customHeight="1">
      <c r="A32" s="9" t="s">
        <v>330</v>
      </c>
      <c r="B32" s="9" t="s">
        <v>280</v>
      </c>
      <c r="C32" s="9" t="s">
        <v>300</v>
      </c>
      <c r="D32" s="9" t="s">
        <v>331</v>
      </c>
      <c r="E32" s="8">
        <v>46300</v>
      </c>
      <c r="F32" s="8">
        <v>46310</v>
      </c>
      <c r="G32" s="12"/>
      <c r="H32" s="24"/>
      <c r="I32" s="9" t="str">
        <f t="shared" si="0"/>
        <v>未开始</v>
      </c>
      <c r="J32" s="12"/>
      <c r="K32" s="12"/>
    </row>
    <row r="33" spans="1:11" ht="33.950000000000003" customHeight="1">
      <c r="A33" s="15" t="s">
        <v>332</v>
      </c>
      <c r="B33" s="15" t="s">
        <v>284</v>
      </c>
      <c r="C33" s="15" t="s">
        <v>300</v>
      </c>
      <c r="D33" s="15" t="s">
        <v>333</v>
      </c>
      <c r="E33" s="14">
        <v>46300</v>
      </c>
      <c r="F33" s="14">
        <v>46310</v>
      </c>
      <c r="G33" s="18"/>
      <c r="H33" s="25"/>
      <c r="I33" s="15" t="str">
        <f t="shared" si="0"/>
        <v>未开始</v>
      </c>
      <c r="J33" s="18"/>
      <c r="K33" s="18"/>
    </row>
  </sheetData>
  <mergeCells count="2">
    <mergeCell ref="A1:K1"/>
    <mergeCell ref="A2:K2"/>
  </mergeCells>
  <phoneticPr fontId="18" type="noConversion"/>
  <conditionalFormatting sqref="I5:I33">
    <cfRule type="containsText" dxfId="1" priority="1" operator="containsText" text="已巩固"/>
    <cfRule type="containsText" dxfId="0" priority="2" operator="containsText" text="需补强"/>
  </conditionalFormatting>
  <dataValidations count="3">
    <dataValidation type="whole" sqref="G5:G33" xr:uid="{00000000-0002-0000-0400-000000000000}">
      <formula1>0</formula1>
      <formula2>999</formula2>
    </dataValidation>
    <dataValidation type="decimal" sqref="H5:H33" xr:uid="{00000000-0002-0000-0400-000001000000}">
      <formula1>0</formula1>
      <formula2>1</formula2>
    </dataValidation>
    <dataValidation type="whole" sqref="J5:J33" xr:uid="{00000000-0002-0000-0400-000002000000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学习总览</vt:lpstr>
      <vt:lpstr>每日计划</vt:lpstr>
      <vt:lpstr>模考记录</vt:lpstr>
      <vt:lpstr>错题本</vt:lpstr>
      <vt:lpstr>考点地图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aravy cao</cp:lastModifiedBy>
  <dcterms:modified xsi:type="dcterms:W3CDTF">2026-09-18T02:54:23Z</dcterms:modified>
</cp:coreProperties>
</file>